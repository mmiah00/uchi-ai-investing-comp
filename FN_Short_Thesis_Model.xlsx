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4.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drawings/drawing6.xml" ContentType="application/vnd.openxmlformats-officedocument.drawing+xml"/>
  <Override PartName="/xl/comments/comment3.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Dashboard" sheetId="1" state="visible" r:id="rId1"/>
    <sheet xmlns:r="http://schemas.openxmlformats.org/officeDocument/2006/relationships" name="0. Legend &amp; Cover" sheetId="2" state="visible" r:id="rId2"/>
    <sheet xmlns:r="http://schemas.openxmlformats.org/officeDocument/2006/relationships" name="2. Historical Financials" sheetId="3" state="visible" r:id="rId3"/>
    <sheet xmlns:r="http://schemas.openxmlformats.org/officeDocument/2006/relationships" name="3. Revenue Mix" sheetId="4" state="visible" r:id="rId4"/>
    <sheet xmlns:r="http://schemas.openxmlformats.org/officeDocument/2006/relationships" name="4. AI Exposure" sheetId="5" state="visible" r:id="rId5"/>
    <sheet xmlns:r="http://schemas.openxmlformats.org/officeDocument/2006/relationships" name="5. Customer Concentration" sheetId="6" state="visible" r:id="rId6"/>
    <sheet xmlns:r="http://schemas.openxmlformats.org/officeDocument/2006/relationships" name="6. Working Capital &amp; FCF" sheetId="7" state="visible" r:id="rId7"/>
    <sheet xmlns:r="http://schemas.openxmlformats.org/officeDocument/2006/relationships" name="7. Capex &amp; Capacity" sheetId="8" state="visible" r:id="rId8"/>
    <sheet xmlns:r="http://schemas.openxmlformats.org/officeDocument/2006/relationships" name="8. Margin Analysis" sheetId="9" state="visible" r:id="rId9"/>
    <sheet xmlns:r="http://schemas.openxmlformats.org/officeDocument/2006/relationships" name="9. Sell-Side Research" sheetId="10" state="visible" r:id="rId10"/>
    <sheet xmlns:r="http://schemas.openxmlformats.org/officeDocument/2006/relationships" name="10. Consensus Estimates" sheetId="11" state="visible" r:id="rId11"/>
    <sheet xmlns:r="http://schemas.openxmlformats.org/officeDocument/2006/relationships" name="11. Scenario Model" sheetId="12" state="visible" r:id="rId12"/>
    <sheet xmlns:r="http://schemas.openxmlformats.org/officeDocument/2006/relationships" name="12. Valuation" sheetId="13" state="visible" r:id="rId13"/>
    <sheet xmlns:r="http://schemas.openxmlformats.org/officeDocument/2006/relationships" name="13. Catalysts" sheetId="14" state="visible" r:id="rId14"/>
    <sheet xmlns:r="http://schemas.openxmlformats.org/officeDocument/2006/relationships" name="14. Risks to Short" sheetId="15" state="visible" r:id="rId15"/>
    <sheet xmlns:r="http://schemas.openxmlformats.org/officeDocument/2006/relationships" name="15. Sources" sheetId="16" state="visible" r:id="rId16"/>
  </sheets>
  <definedNames/>
  <calcPr calcId="124519" fullCalcOnLoad="1"/>
</workbook>
</file>

<file path=xl/styles.xml><?xml version="1.0" encoding="utf-8"?>
<styleSheet xmlns="http://schemas.openxmlformats.org/spreadsheetml/2006/main">
  <numFmts count="8">
    <numFmt numFmtId="164" formatCode="#,##0.0;(#,##0.0)"/>
    <numFmt numFmtId="165" formatCode="0.0%;(0.0%)"/>
    <numFmt numFmtId="166" formatCode="$#,##0.00;($#,##0.00)"/>
    <numFmt numFmtId="167" formatCode="#,##0&quot; d&quot;"/>
    <numFmt numFmtId="168" formatCode="#,##0;(#,##0)"/>
    <numFmt numFmtId="169" formatCode="+#,##0.0&quot; pp&quot;;-#,##0.0&quot; pp&quot;"/>
    <numFmt numFmtId="170" formatCode="$#,##0.0;($#,##0.0)"/>
    <numFmt numFmtId="171" formatCode="0.0&quot;x&quot;"/>
  </numFmts>
  <fonts count="14">
    <font>
      <name val="Calibri"/>
      <family val="2"/>
      <color theme="1"/>
      <sz val="11"/>
      <scheme val="minor"/>
    </font>
    <font>
      <name val="Calibri"/>
      <b val="1"/>
      <color rgb="00FFFFFF"/>
      <sz val="16"/>
    </font>
    <font>
      <name val="Calibri"/>
      <i val="1"/>
      <color rgb="00FFFFFF"/>
      <sz val="10"/>
    </font>
    <font>
      <name val="Calibri"/>
      <b val="1"/>
      <color rgb="00FFFFFF"/>
      <sz val="11"/>
    </font>
    <font>
      <name val="Calibri"/>
      <b val="1"/>
      <color rgb="00000000"/>
      <sz val="10"/>
    </font>
    <font>
      <name val="Calibri"/>
      <color rgb="00000000"/>
      <sz val="10"/>
    </font>
    <font>
      <name val="Calibri"/>
      <i val="1"/>
      <color rgb="00595959"/>
      <sz val="9"/>
    </font>
    <font>
      <name val="Calibri"/>
      <b val="1"/>
      <color rgb="001F3864"/>
      <sz val="10"/>
    </font>
    <font>
      <name val="Calibri"/>
      <color rgb="000000CC"/>
      <sz val="10"/>
    </font>
    <font>
      <name val="Calibri"/>
      <i val="1"/>
      <color rgb="00808080"/>
      <sz val="10"/>
    </font>
    <font>
      <name val="Calibri"/>
      <b val="1"/>
      <color rgb="000000CC"/>
      <sz val="10"/>
    </font>
    <font>
      <name val="Calibri"/>
      <b val="1"/>
      <color rgb="00C00000"/>
      <sz val="10"/>
    </font>
    <font>
      <name val="Calibri"/>
      <b val="1"/>
      <color rgb="00C45911"/>
      <sz val="10"/>
    </font>
    <font>
      <b val="1"/>
      <color rgb="00000000"/>
      <sz val="9"/>
    </font>
  </fonts>
  <fills count="8">
    <fill>
      <patternFill/>
    </fill>
    <fill>
      <patternFill patternType="gray125"/>
    </fill>
    <fill>
      <patternFill patternType="solid">
        <fgColor rgb="001F3864"/>
      </patternFill>
    </fill>
    <fill>
      <patternFill patternType="solid">
        <fgColor rgb="002E5395"/>
      </patternFill>
    </fill>
    <fill>
      <patternFill patternType="solid">
        <fgColor rgb="00FFF2CC"/>
      </patternFill>
    </fill>
    <fill>
      <patternFill patternType="solid">
        <fgColor rgb="00D9E2F3"/>
      </patternFill>
    </fill>
    <fill>
      <patternFill patternType="solid">
        <fgColor rgb="00E2F0D9"/>
      </patternFill>
    </fill>
    <fill>
      <patternFill patternType="solid">
        <fgColor rgb="00FCE4E4"/>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2" borderId="0" applyAlignment="1" pivotButton="0" quotePrefix="0" xfId="0">
      <alignment horizontal="left" vertical="center" indent="1"/>
    </xf>
    <xf numFmtId="0" fontId="3" fillId="3" borderId="0" applyAlignment="1" pivotButton="0" quotePrefix="0" xfId="0">
      <alignment horizontal="left" vertical="center" indent="1"/>
    </xf>
    <xf numFmtId="0" fontId="7" fillId="5" borderId="1" applyAlignment="1" pivotButton="0" quotePrefix="0" xfId="0">
      <alignment horizontal="center" vertical="center" wrapText="1"/>
    </xf>
    <xf numFmtId="0" fontId="5" fillId="0" borderId="0" applyAlignment="1" pivotButton="0" quotePrefix="0" xfId="0">
      <alignment horizontal="left"/>
    </xf>
    <xf numFmtId="0" fontId="8" fillId="0" borderId="1" pivotButton="0" quotePrefix="0" xfId="0"/>
    <xf numFmtId="164" fontId="5" fillId="0" borderId="1" applyAlignment="1" pivotButton="0" quotePrefix="0" xfId="0">
      <alignment horizontal="right"/>
    </xf>
    <xf numFmtId="164" fontId="8" fillId="0" borderId="1" applyAlignment="1" pivotButton="0" quotePrefix="0" xfId="0">
      <alignment horizontal="right"/>
    </xf>
    <xf numFmtId="166" fontId="5" fillId="0" borderId="1" applyAlignment="1" pivotButton="0" quotePrefix="0" xfId="0">
      <alignment horizontal="right"/>
    </xf>
    <xf numFmtId="165" fontId="5" fillId="0" borderId="1" applyAlignment="1" pivotButton="0" quotePrefix="0" xfId="0">
      <alignment horizontal="right"/>
    </xf>
    <xf numFmtId="171" fontId="5" fillId="0" borderId="1" applyAlignment="1" pivotButton="0" quotePrefix="0" xfId="0">
      <alignment horizontal="right"/>
    </xf>
    <xf numFmtId="166" fontId="8" fillId="0" borderId="1" applyAlignment="1" pivotButton="0" quotePrefix="0" xfId="0">
      <alignment horizontal="right"/>
    </xf>
    <xf numFmtId="0" fontId="9" fillId="0" borderId="1" applyAlignment="1" pivotButton="0" quotePrefix="0" xfId="0">
      <alignment horizontal="center"/>
    </xf>
    <xf numFmtId="0" fontId="9" fillId="0" borderId="1" pivotButton="0" quotePrefix="0" xfId="0"/>
    <xf numFmtId="0" fontId="4" fillId="0" borderId="0" applyAlignment="1" pivotButton="0" quotePrefix="0" xfId="0">
      <alignment horizontal="left"/>
    </xf>
    <xf numFmtId="0" fontId="6" fillId="0" borderId="0" applyAlignment="1" pivotButton="0" quotePrefix="0" xfId="0">
      <alignment horizontal="left" vertical="top" wrapText="1"/>
    </xf>
    <xf numFmtId="0" fontId="5" fillId="0" borderId="0" applyAlignment="1" pivotButton="0" quotePrefix="0" xfId="0">
      <alignment wrapText="1"/>
    </xf>
    <xf numFmtId="0" fontId="3" fillId="3" borderId="0" applyAlignment="1" pivotButton="0" quotePrefix="0" xfId="0">
      <alignment vertical="center" indent="1"/>
    </xf>
    <xf numFmtId="0" fontId="5" fillId="0" borderId="0" applyAlignment="1" pivotButton="0" quotePrefix="0" xfId="0">
      <alignment vertical="top" wrapText="1"/>
    </xf>
    <xf numFmtId="0" fontId="4" fillId="0" borderId="0" pivotButton="0" quotePrefix="0" xfId="0"/>
    <xf numFmtId="0" fontId="5" fillId="0" borderId="0" applyAlignment="1" pivotButton="0" quotePrefix="0" xfId="0">
      <alignment vertical="center" wrapText="1"/>
    </xf>
    <xf numFmtId="0" fontId="4" fillId="4" borderId="0" pivotButton="0" quotePrefix="0" xfId="0"/>
    <xf numFmtId="0" fontId="6" fillId="0" borderId="0" pivotButton="0" quotePrefix="0" xfId="0"/>
    <xf numFmtId="0" fontId="5" fillId="0" borderId="0" applyAlignment="1" pivotButton="0" quotePrefix="0" xfId="0">
      <alignment horizontal="left" indent="1"/>
    </xf>
    <xf numFmtId="164" fontId="4" fillId="0" borderId="1" applyAlignment="1" pivotButton="0" quotePrefix="0" xfId="0">
      <alignment horizontal="right"/>
    </xf>
    <xf numFmtId="164" fontId="10" fillId="0" borderId="1" applyAlignment="1" pivotButton="0" quotePrefix="0" xfId="0">
      <alignment horizontal="right"/>
    </xf>
    <xf numFmtId="167" fontId="5" fillId="0" borderId="1" applyAlignment="1" pivotButton="0" quotePrefix="0" xfId="0">
      <alignment horizontal="right"/>
    </xf>
    <xf numFmtId="167" fontId="4" fillId="0" borderId="1" applyAlignment="1" pivotButton="0" quotePrefix="0" xfId="0">
      <alignment horizontal="right"/>
    </xf>
    <xf numFmtId="0" fontId="11" fillId="0" borderId="0" pivotButton="0" quotePrefix="0" xfId="0"/>
    <xf numFmtId="165" fontId="5" fillId="0" borderId="1" pivotButton="0" quotePrefix="0" xfId="0"/>
    <xf numFmtId="0" fontId="4" fillId="0" borderId="1" applyAlignment="1" pivotButton="0" quotePrefix="0" xfId="0">
      <alignment horizontal="left"/>
    </xf>
    <xf numFmtId="0" fontId="8" fillId="0"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4" fillId="6" borderId="1" applyAlignment="1" pivotButton="0" quotePrefix="0" xfId="0">
      <alignment horizontal="center" vertical="top" wrapText="1"/>
    </xf>
    <xf numFmtId="0" fontId="4" fillId="4" borderId="1" applyAlignment="1" pivotButton="0" quotePrefix="0" xfId="0">
      <alignment horizontal="center" vertical="top" wrapText="1"/>
    </xf>
    <xf numFmtId="165" fontId="8" fillId="0" borderId="1" applyAlignment="1" pivotButton="0" quotePrefix="0" xfId="0">
      <alignment horizontal="right"/>
    </xf>
    <xf numFmtId="165" fontId="10" fillId="0" borderId="1" applyAlignment="1" pivotButton="0" quotePrefix="0" xfId="0">
      <alignment horizontal="right"/>
    </xf>
    <xf numFmtId="168" fontId="8" fillId="0" borderId="1" applyAlignment="1" pivotButton="0" quotePrefix="0" xfId="0">
      <alignment horizontal="right"/>
    </xf>
    <xf numFmtId="169" fontId="5" fillId="0" borderId="1" applyAlignment="1" pivotButton="0" quotePrefix="0" xfId="0">
      <alignment horizontal="right"/>
    </xf>
    <xf numFmtId="0" fontId="6" fillId="5" borderId="1" applyAlignment="1" pivotButton="0" quotePrefix="0" xfId="0">
      <alignment horizontal="center" vertical="center" wrapText="1"/>
    </xf>
    <xf numFmtId="0" fontId="8" fillId="0" borderId="0" applyAlignment="1" pivotButton="0" quotePrefix="0" xfId="0">
      <alignment wrapText="1"/>
    </xf>
    <xf numFmtId="0" fontId="5" fillId="0" borderId="0" pivotButton="0" quotePrefix="0" xfId="0"/>
    <xf numFmtId="0" fontId="7" fillId="5" borderId="1" pivotButton="0" quotePrefix="0" xfId="0"/>
    <xf numFmtId="165" fontId="4" fillId="0" borderId="1" applyAlignment="1" pivotButton="0" quotePrefix="0" xfId="0">
      <alignment horizontal="right"/>
    </xf>
    <xf numFmtId="0" fontId="8" fillId="0" borderId="1" applyAlignment="1" pivotButton="0" quotePrefix="0" xfId="0">
      <alignment wrapText="1"/>
    </xf>
    <xf numFmtId="170" fontId="8" fillId="0" borderId="1" applyAlignment="1" pivotButton="0" quotePrefix="0" xfId="0">
      <alignment horizontal="right"/>
    </xf>
    <xf numFmtId="0" fontId="11" fillId="0" borderId="1" applyAlignment="1" pivotButton="0" quotePrefix="0" xfId="0">
      <alignment wrapText="1"/>
    </xf>
    <xf numFmtId="0" fontId="5" fillId="0" borderId="1" pivotButton="0" quotePrefix="0" xfId="0"/>
    <xf numFmtId="0" fontId="6" fillId="0" borderId="1" applyAlignment="1" pivotButton="0" quotePrefix="0" xfId="0">
      <alignment wrapText="1"/>
    </xf>
    <xf numFmtId="0" fontId="6" fillId="0" borderId="1" pivotButton="0" quotePrefix="0" xfId="0"/>
    <xf numFmtId="0" fontId="9" fillId="0" borderId="0" applyAlignment="1" pivotButton="0" quotePrefix="0" xfId="0">
      <alignment wrapText="1"/>
    </xf>
    <xf numFmtId="165" fontId="12" fillId="4" borderId="1" applyAlignment="1" pivotButton="0" quotePrefix="0" xfId="0">
      <alignment horizontal="right"/>
    </xf>
    <xf numFmtId="164" fontId="12" fillId="4" borderId="1" applyAlignment="1" pivotButton="0" quotePrefix="0" xfId="0">
      <alignment horizontal="right"/>
    </xf>
    <xf numFmtId="166" fontId="4" fillId="0" borderId="1" applyAlignment="1" pivotButton="0" quotePrefix="0" xfId="0">
      <alignment horizontal="right"/>
    </xf>
    <xf numFmtId="171" fontId="12" fillId="4" borderId="1" applyAlignment="1" pivotButton="0" quotePrefix="0" xfId="0">
      <alignment horizontal="right"/>
    </xf>
    <xf numFmtId="165" fontId="11" fillId="0" borderId="1" applyAlignment="1" pivotButton="0" quotePrefix="0" xfId="0">
      <alignment horizontal="right"/>
    </xf>
    <xf numFmtId="0" fontId="5" fillId="5" borderId="1" applyAlignment="1" pivotButton="0" quotePrefix="0" xfId="0">
      <alignment horizontal="left"/>
    </xf>
    <xf numFmtId="166" fontId="13" fillId="5" borderId="1" applyAlignment="1" pivotButton="0" quotePrefix="0" xfId="0">
      <alignment horizontal="right"/>
    </xf>
    <xf numFmtId="0" fontId="4" fillId="0" borderId="1" applyAlignment="1" pivotButton="0" quotePrefix="0" xfId="0">
      <alignment vertical="top" wrapText="1"/>
    </xf>
    <xf numFmtId="0" fontId="4" fillId="7" borderId="1" applyAlignment="1" pivotButton="0" quotePrefix="0" xfId="0">
      <alignment horizontal="center" vertical="top" wrapText="1"/>
    </xf>
    <xf numFmtId="0" fontId="8" fillId="0" borderId="1" applyAlignment="1" pivotButton="0" quotePrefix="0" xfId="0">
      <alignment horizontal="center" vertical="top" wrapText="1"/>
    </xf>
    <xf numFmtId="0" fontId="8" fillId="0" borderId="1" applyAlignment="1" pivotButton="0" quotePrefix="0" xfId="0">
      <alignment horizontal="left" vertical="top" wrapText="1"/>
    </xf>
    <xf numFmtId="0" fontId="5"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Fabrinet Revenue Mix Over Time, FY2024-FY2026 (Regime C — recast presentation, 10K26)</a:t>
            </a:r>
          </a:p>
        </rich>
      </tx>
    </title>
    <plotArea>
      <barChart>
        <barDir val="col"/>
        <grouping val="stacked"/>
        <ser>
          <idx val="0"/>
          <order val="0"/>
          <tx>
            <v>Data center</v>
          </tx>
          <spPr>
            <a:ln xmlns:a="http://schemas.openxmlformats.org/drawingml/2006/main">
              <a:prstDash val="solid"/>
            </a:ln>
          </spPr>
          <cat>
            <numRef>
              <f>'3. Revenue Mix'!$B$27:$D$27</f>
            </numRef>
          </cat>
          <val>
            <numRef>
              <f>'3. Revenue Mix'!$B$28:$D$28</f>
            </numRef>
          </val>
        </ser>
        <ser>
          <idx val="1"/>
          <order val="1"/>
          <tx>
            <v>Communications infrastructure</v>
          </tx>
          <spPr>
            <a:ln xmlns:a="http://schemas.openxmlformats.org/drawingml/2006/main">
              <a:prstDash val="solid"/>
            </a:ln>
          </spPr>
          <cat>
            <numRef>
              <f>'3. Revenue Mix'!$B$27:$D$27</f>
            </numRef>
          </cat>
          <val>
            <numRef>
              <f>'3. Revenue Mix'!$B$29:$D$29</f>
            </numRef>
          </val>
        </ser>
        <ser>
          <idx val="2"/>
          <order val="2"/>
          <tx>
            <v>Automotive, Industrial &amp; Other</v>
          </tx>
          <spPr>
            <a:ln xmlns:a="http://schemas.openxmlformats.org/drawingml/2006/main">
              <a:prstDash val="solid"/>
            </a:ln>
          </spPr>
          <cat>
            <numRef>
              <f>'3. Revenue Mix'!$B$27:$D$27</f>
            </numRef>
          </cat>
          <val>
            <numRef>
              <f>'3. Revenue Mix'!$B$30:$D$30</f>
            </numRef>
          </val>
        </ser>
        <gapWidth val="150"/>
        <overlap val="100"/>
        <axId val="10"/>
        <axId val="100"/>
      </barChart>
      <catAx>
        <axId val="10"/>
        <scaling>
          <orientation val="minMax"/>
        </scaling>
        <axPos val="l"/>
        <title>
          <tx>
            <rich>
              <a:bodyPr xmlns:a="http://schemas.openxmlformats.org/drawingml/2006/main"/>
              <a:p xmlns:a="http://schemas.openxmlformats.org/drawingml/2006/main">
                <a:pPr>
                  <a:defRPr/>
                </a:pPr>
                <a:r>
                  <a:t>Fiscal 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millions</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Fabrinet: Revenue Concentration in ≥10% Customers, FY2022-FY2026</a:t>
            </a:r>
          </a:p>
        </rich>
      </tx>
    </title>
    <plotArea>
      <lineChart>
        <grouping val="standard"/>
        <ser>
          <idx val="0"/>
          <order val="0"/>
          <tx>
            <v>Sum of customers ≥10% of revenue</v>
          </tx>
          <spPr>
            <a:ln xmlns:a="http://schemas.openxmlformats.org/drawingml/2006/main">
              <a:prstDash val="solid"/>
            </a:ln>
          </spPr>
          <marker>
            <symbol val="none"/>
            <spPr>
              <a:ln xmlns:a="http://schemas.openxmlformats.org/drawingml/2006/main">
                <a:prstDash val="solid"/>
              </a:ln>
            </spPr>
          </marker>
          <cat>
            <numRef>
              <f>'5. Customer Concentration'!$B$5:$F$5</f>
            </numRef>
          </cat>
          <val>
            <numRef>
              <f>'5. Customer Concentration'!$B$12:$F$12</f>
            </numRef>
          </val>
        </ser>
        <axId val="10"/>
        <axId val="100"/>
      </lineChart>
      <catAx>
        <axId val="10"/>
        <scaling>
          <orientation val="minMax"/>
        </scaling>
        <axPos val="l"/>
        <title>
          <tx>
            <rich>
              <a:bodyPr xmlns:a="http://schemas.openxmlformats.org/drawingml/2006/main"/>
              <a:p xmlns:a="http://schemas.openxmlformats.org/drawingml/2006/main">
                <a:pPr>
                  <a:defRPr/>
                </a:pPr>
                <a:r>
                  <a:t>Fiscal 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of total revenue</a:t>
                </a:r>
              </a:p>
            </rich>
          </tx>
        </title>
        <numFmt formatCode="0%" sourceLinked="0"/>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12"/>
  <chart>
    <title>
      <tx>
        <rich>
          <a:bodyPr xmlns:a="http://schemas.openxmlformats.org/drawingml/2006/main"/>
          <a:p xmlns:a="http://schemas.openxmlformats.org/drawingml/2006/main">
            <a:pPr>
              <a:defRPr/>
            </a:pPr>
            <a:r>
              <a:t>Revenue vs. Free Cash Flow ($mm)</a:t>
            </a:r>
          </a:p>
        </rich>
      </tx>
    </title>
    <plotArea>
      <lineChart>
        <grouping val="standard"/>
        <ser>
          <idx val="0"/>
          <order val="0"/>
          <tx>
            <v>Revenue</v>
          </tx>
          <spPr>
            <a:ln xmlns:a="http://schemas.openxmlformats.org/drawingml/2006/main">
              <a:prstDash val="solid"/>
            </a:ln>
          </spPr>
          <marker>
            <symbol val="none"/>
            <spPr>
              <a:ln xmlns:a="http://schemas.openxmlformats.org/drawingml/2006/main">
                <a:prstDash val="solid"/>
              </a:ln>
            </spPr>
          </marker>
          <cat>
            <numRef>
              <f>'6. Working Capital &amp; FCF'!$B$5:$F$5</f>
            </numRef>
          </cat>
          <val>
            <numRef>
              <f>'6. Working Capital &amp; FCF'!$B$6:$F$6</f>
            </numRef>
          </val>
        </ser>
        <ser>
          <idx val="1"/>
          <order val="1"/>
          <tx>
            <v>FCF (cash-paid basis)</v>
          </tx>
          <spPr>
            <a:ln xmlns:a="http://schemas.openxmlformats.org/drawingml/2006/main">
              <a:prstDash val="solid"/>
            </a:ln>
          </spPr>
          <marker>
            <symbol val="none"/>
            <spPr>
              <a:ln xmlns:a="http://schemas.openxmlformats.org/drawingml/2006/main">
                <a:prstDash val="solid"/>
              </a:ln>
            </spPr>
          </marker>
          <cat>
            <numRef>
              <f>'6. Working Capital &amp; FCF'!$B$5:$F$5</f>
            </numRef>
          </cat>
          <val>
            <numRef>
              <f>'6. Working Capital &amp; FCF'!$B$10:$F$10</f>
            </numRef>
          </val>
        </ser>
        <axId val="10"/>
        <axId val="100"/>
      </lineChart>
      <catAx>
        <axId val="10"/>
        <scaling>
          <orientation val="minMax"/>
        </scaling>
        <axPos val="l"/>
        <title>
          <tx>
            <rich>
              <a:bodyPr xmlns:a="http://schemas.openxmlformats.org/drawingml/2006/main"/>
              <a:p xmlns:a="http://schemas.openxmlformats.org/drawingml/2006/main">
                <a:pPr>
                  <a:defRPr/>
                </a:pPr>
                <a:r>
                  <a:t>Fiscal 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millions</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12"/>
  <chart>
    <title>
      <tx>
        <rich>
          <a:bodyPr xmlns:a="http://schemas.openxmlformats.org/drawingml/2006/main"/>
          <a:p xmlns:a="http://schemas.openxmlformats.org/drawingml/2006/main">
            <a:pPr>
              <a:defRPr/>
            </a:pPr>
            <a:r>
              <a:t>Net Income vs. Operating Cash Flow ($mm)</a:t>
            </a:r>
          </a:p>
        </rich>
      </tx>
    </title>
    <plotArea>
      <lineChart>
        <grouping val="standard"/>
        <ser>
          <idx val="0"/>
          <order val="0"/>
          <tx>
            <v>Net income</v>
          </tx>
          <spPr>
            <a:ln xmlns:a="http://schemas.openxmlformats.org/drawingml/2006/main">
              <a:prstDash val="solid"/>
            </a:ln>
          </spPr>
          <marker>
            <symbol val="none"/>
            <spPr>
              <a:ln xmlns:a="http://schemas.openxmlformats.org/drawingml/2006/main">
                <a:prstDash val="solid"/>
              </a:ln>
            </spPr>
          </marker>
          <cat>
            <numRef>
              <f>'6. Working Capital &amp; FCF'!$B$5:$F$5</f>
            </numRef>
          </cat>
          <val>
            <numRef>
              <f>'6. Working Capital &amp; FCF'!$B$7:$F$7</f>
            </numRef>
          </val>
        </ser>
        <ser>
          <idx val="1"/>
          <order val="1"/>
          <tx>
            <v>CFO</v>
          </tx>
          <spPr>
            <a:ln xmlns:a="http://schemas.openxmlformats.org/drawingml/2006/main">
              <a:prstDash val="solid"/>
            </a:ln>
          </spPr>
          <marker>
            <symbol val="none"/>
            <spPr>
              <a:ln xmlns:a="http://schemas.openxmlformats.org/drawingml/2006/main">
                <a:prstDash val="solid"/>
              </a:ln>
            </spPr>
          </marker>
          <cat>
            <numRef>
              <f>'6. Working Capital &amp; FCF'!$B$5:$F$5</f>
            </numRef>
          </cat>
          <val>
            <numRef>
              <f>'6. Working Capital &amp; FCF'!$B$8:$F$8</f>
            </numRef>
          </val>
        </ser>
        <axId val="10"/>
        <axId val="100"/>
      </lineChart>
      <catAx>
        <axId val="10"/>
        <scaling>
          <orientation val="minMax"/>
        </scaling>
        <axPos val="l"/>
        <title>
          <tx>
            <rich>
              <a:bodyPr xmlns:a="http://schemas.openxmlformats.org/drawingml/2006/main"/>
              <a:p xmlns:a="http://schemas.openxmlformats.org/drawingml/2006/main">
                <a:pPr>
                  <a:defRPr/>
                </a:pPr>
                <a:r>
                  <a:t>Fiscal 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millions</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12"/>
  <chart>
    <title>
      <tx>
        <rich>
          <a:bodyPr xmlns:a="http://schemas.openxmlformats.org/drawingml/2006/main"/>
          <a:p xmlns:a="http://schemas.openxmlformats.org/drawingml/2006/main">
            <a:pPr>
              <a:defRPr/>
            </a:pPr>
            <a:r>
              <a:t>Net Income vs. Free Cash Flow ($mm)</a:t>
            </a:r>
          </a:p>
        </rich>
      </tx>
    </title>
    <plotArea>
      <lineChart>
        <grouping val="standard"/>
        <ser>
          <idx val="0"/>
          <order val="0"/>
          <tx>
            <v>Net income</v>
          </tx>
          <spPr>
            <a:ln xmlns:a="http://schemas.openxmlformats.org/drawingml/2006/main">
              <a:prstDash val="solid"/>
            </a:ln>
          </spPr>
          <marker>
            <symbol val="none"/>
            <spPr>
              <a:ln xmlns:a="http://schemas.openxmlformats.org/drawingml/2006/main">
                <a:prstDash val="solid"/>
              </a:ln>
            </spPr>
          </marker>
          <cat>
            <numRef>
              <f>'6. Working Capital &amp; FCF'!$B$5:$F$5</f>
            </numRef>
          </cat>
          <val>
            <numRef>
              <f>'6. Working Capital &amp; FCF'!$B$7:$F$7</f>
            </numRef>
          </val>
        </ser>
        <ser>
          <idx val="1"/>
          <order val="1"/>
          <tx>
            <v>FCF (cash-paid basis)</v>
          </tx>
          <spPr>
            <a:ln xmlns:a="http://schemas.openxmlformats.org/drawingml/2006/main">
              <a:prstDash val="solid"/>
            </a:ln>
          </spPr>
          <marker>
            <symbol val="none"/>
            <spPr>
              <a:ln xmlns:a="http://schemas.openxmlformats.org/drawingml/2006/main">
                <a:prstDash val="solid"/>
              </a:ln>
            </spPr>
          </marker>
          <cat>
            <numRef>
              <f>'6. Working Capital &amp; FCF'!$B$5:$F$5</f>
            </numRef>
          </cat>
          <val>
            <numRef>
              <f>'6. Working Capital &amp; FCF'!$B$10:$F$10</f>
            </numRef>
          </val>
        </ser>
        <axId val="10"/>
        <axId val="100"/>
      </lineChart>
      <catAx>
        <axId val="10"/>
        <scaling>
          <orientation val="minMax"/>
        </scaling>
        <axPos val="l"/>
        <title>
          <tx>
            <rich>
              <a:bodyPr xmlns:a="http://schemas.openxmlformats.org/drawingml/2006/main"/>
              <a:p xmlns:a="http://schemas.openxmlformats.org/drawingml/2006/main">
                <a:pPr>
                  <a:defRPr/>
                </a:pPr>
                <a:r>
                  <a:t>Fiscal 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millions</a:t>
                </a:r>
              </a:p>
            </rich>
          </tx>
        </title>
        <majorTickMark val="none"/>
        <minorTickMark val="none"/>
        <crossAx val="10"/>
      </valAx>
    </plotArea>
    <legend>
      <legendPos val="r"/>
    </legend>
    <plotVisOnly val="1"/>
    <dispBlanksAs val="gap"/>
  </chart>
</chartSpace>
</file>

<file path=xl/charts/chart6.xml><?xml version="1.0" encoding="utf-8"?>
<chartSpace xmlns="http://schemas.openxmlformats.org/drawingml/2006/chart">
  <style val="12"/>
  <chart>
    <title>
      <tx>
        <rich>
          <a:bodyPr xmlns:a="http://schemas.openxmlformats.org/drawingml/2006/main"/>
          <a:p xmlns:a="http://schemas.openxmlformats.org/drawingml/2006/main">
            <a:pPr>
              <a:defRPr/>
            </a:pPr>
            <a:r>
              <a:t>Revenue vs. Capex ($mm)</a:t>
            </a:r>
          </a:p>
        </rich>
      </tx>
    </title>
    <plotArea>
      <lineChart>
        <grouping val="standard"/>
        <ser>
          <idx val="0"/>
          <order val="0"/>
          <tx>
            <v>Revenue</v>
          </tx>
          <spPr>
            <a:ln xmlns:a="http://schemas.openxmlformats.org/drawingml/2006/main">
              <a:prstDash val="solid"/>
            </a:ln>
          </spPr>
          <marker>
            <symbol val="none"/>
            <spPr>
              <a:ln xmlns:a="http://schemas.openxmlformats.org/drawingml/2006/main">
                <a:prstDash val="solid"/>
              </a:ln>
            </spPr>
          </marker>
          <cat>
            <numRef>
              <f>'6. Working Capital &amp; FCF'!$B$5:$F$5</f>
            </numRef>
          </cat>
          <val>
            <numRef>
              <f>'6. Working Capital &amp; FCF'!$B$6:$F$6</f>
            </numRef>
          </val>
        </ser>
        <ser>
          <idx val="1"/>
          <order val="1"/>
          <tx>
            <v>Capex (cash-paid)</v>
          </tx>
          <spPr>
            <a:ln xmlns:a="http://schemas.openxmlformats.org/drawingml/2006/main">
              <a:prstDash val="solid"/>
            </a:ln>
          </spPr>
          <marker>
            <symbol val="none"/>
            <spPr>
              <a:ln xmlns:a="http://schemas.openxmlformats.org/drawingml/2006/main">
                <a:prstDash val="solid"/>
              </a:ln>
            </spPr>
          </marker>
          <cat>
            <numRef>
              <f>'6. Working Capital &amp; FCF'!$B$5:$F$5</f>
            </numRef>
          </cat>
          <val>
            <numRef>
              <f>'6. Working Capital &amp; FCF'!$B$9:$F$9</f>
            </numRef>
          </val>
        </ser>
        <axId val="10"/>
        <axId val="100"/>
      </lineChart>
      <catAx>
        <axId val="10"/>
        <scaling>
          <orientation val="minMax"/>
        </scaling>
        <axPos val="l"/>
        <title>
          <tx>
            <rich>
              <a:bodyPr xmlns:a="http://schemas.openxmlformats.org/drawingml/2006/main"/>
              <a:p xmlns:a="http://schemas.openxmlformats.org/drawingml/2006/main">
                <a:pPr>
                  <a:defRPr/>
                </a:pPr>
                <a:r>
                  <a:t>Fiscal 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millions</a:t>
                </a:r>
              </a:p>
            </rich>
          </tx>
        </title>
        <majorTickMark val="none"/>
        <minorTickMark val="none"/>
        <crossAx val="10"/>
      </valAx>
    </plotArea>
    <legend>
      <legendPos val="r"/>
    </legend>
    <plotVisOnly val="1"/>
    <dispBlanksAs val="gap"/>
  </chart>
</chartSpace>
</file>

<file path=xl/charts/chart7.xml><?xml version="1.0" encoding="utf-8"?>
<chartSpace xmlns="http://schemas.openxmlformats.org/drawingml/2006/chart">
  <style val="12"/>
  <chart>
    <title>
      <tx>
        <rich>
          <a:bodyPr xmlns:a="http://schemas.openxmlformats.org/drawingml/2006/main"/>
          <a:p xmlns:a="http://schemas.openxmlformats.org/drawingml/2006/main">
            <a:pPr>
              <a:defRPr/>
            </a:pPr>
            <a:r>
              <a:t>Revenue Growth vs. Inventory Growth (% YoY)</a:t>
            </a:r>
          </a:p>
        </rich>
      </tx>
    </title>
    <plotArea>
      <lineChart>
        <grouping val="standard"/>
        <ser>
          <idx val="0"/>
          <order val="0"/>
          <tx>
            <v>Revenue growth %</v>
          </tx>
          <spPr>
            <a:ln xmlns:a="http://schemas.openxmlformats.org/drawingml/2006/main">
              <a:prstDash val="solid"/>
            </a:ln>
          </spPr>
          <marker>
            <symbol val="none"/>
            <spPr>
              <a:ln xmlns:a="http://schemas.openxmlformats.org/drawingml/2006/main">
                <a:prstDash val="solid"/>
              </a:ln>
            </spPr>
          </marker>
          <cat>
            <numRef>
              <f>'6. Working Capital &amp; FCF'!$C$5:$F$5</f>
            </numRef>
          </cat>
          <val>
            <numRef>
              <f>'6. Working Capital &amp; FCF'!$C$16:$F$16</f>
            </numRef>
          </val>
        </ser>
        <ser>
          <idx val="1"/>
          <order val="1"/>
          <tx>
            <v>Inventory growth %</v>
          </tx>
          <spPr>
            <a:ln xmlns:a="http://schemas.openxmlformats.org/drawingml/2006/main">
              <a:prstDash val="solid"/>
            </a:ln>
          </spPr>
          <marker>
            <symbol val="none"/>
            <spPr>
              <a:ln xmlns:a="http://schemas.openxmlformats.org/drawingml/2006/main">
                <a:prstDash val="solid"/>
              </a:ln>
            </spPr>
          </marker>
          <cat>
            <numRef>
              <f>'6. Working Capital &amp; FCF'!$C$5:$F$5</f>
            </numRef>
          </cat>
          <val>
            <numRef>
              <f>'6. Working Capital &amp; FCF'!$C$20:$F$20</f>
            </numRef>
          </val>
        </ser>
        <axId val="10"/>
        <axId val="100"/>
      </lineChart>
      <catAx>
        <axId val="10"/>
        <scaling>
          <orientation val="minMax"/>
        </scaling>
        <axPos val="l"/>
        <title>
          <tx>
            <rich>
              <a:bodyPr xmlns:a="http://schemas.openxmlformats.org/drawingml/2006/main"/>
              <a:p xmlns:a="http://schemas.openxmlformats.org/drawingml/2006/main">
                <a:pPr>
                  <a:defRPr/>
                </a:pPr>
                <a:r>
                  <a:t>Fiscal 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YoY</a:t>
                </a:r>
              </a:p>
            </rich>
          </tx>
        </title>
        <numFmt formatCode="0%" sourceLinked="0"/>
        <majorTickMark val="none"/>
        <minorTickMark val="none"/>
        <crossAx val="10"/>
      </valAx>
    </plotArea>
    <legend>
      <legendPos val="r"/>
    </legend>
    <plotVisOnly val="1"/>
    <dispBlanksAs val="gap"/>
  </chart>
</chartSpace>
</file>

<file path=xl/charts/chart8.xml><?xml version="1.0" encoding="utf-8"?>
<chartSpace xmlns="http://schemas.openxmlformats.org/drawingml/2006/chart">
  <style val="10"/>
  <chart>
    <title>
      <tx>
        <rich>
          <a:bodyPr xmlns:a="http://schemas.openxmlformats.org/drawingml/2006/main"/>
          <a:p xmlns:a="http://schemas.openxmlformats.org/drawingml/2006/main">
            <a:pPr>
              <a:defRPr/>
            </a:pPr>
            <a:r>
              <a:t>Fabrinet Inventory Balance Over Time ($mm)</a:t>
            </a:r>
          </a:p>
        </rich>
      </tx>
    </title>
    <plotArea>
      <barChart>
        <barDir val="col"/>
        <grouping val="clustered"/>
        <ser>
          <idx val="0"/>
          <order val="0"/>
          <tx>
            <v>Inventory, period-end</v>
          </tx>
          <spPr>
            <a:ln xmlns:a="http://schemas.openxmlformats.org/drawingml/2006/main">
              <a:prstDash val="solid"/>
            </a:ln>
          </spPr>
          <cat>
            <numRef>
              <f>'6. Working Capital &amp; FCF'!$B$5:$F$5</f>
            </numRef>
          </cat>
          <val>
            <numRef>
              <f>'6. Working Capital &amp; FCF'!$B$11:$F$11</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Fiscal 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millions</a:t>
                </a:r>
              </a:p>
            </rich>
          </tx>
        </title>
        <majorTickMark val="none"/>
        <minorTickMark val="none"/>
        <crossAx val="10"/>
      </valAx>
    </plotArea>
    <legend>
      <legendPos val="r"/>
    </legend>
    <plotVisOnly val="1"/>
    <dispBlanksAs val="gap"/>
  </chart>
</chartSpace>
</file>

<file path=xl/charts/chart9.xml><?xml version="1.0" encoding="utf-8"?>
<chartSpace xmlns="http://schemas.openxmlformats.org/drawingml/2006/chart">
  <style val="12"/>
  <chart>
    <title>
      <tx>
        <rich>
          <a:bodyPr xmlns:a="http://schemas.openxmlformats.org/drawingml/2006/main"/>
          <a:p xmlns:a="http://schemas.openxmlformats.org/drawingml/2006/main">
            <a:pPr>
              <a:defRPr/>
            </a:pPr>
            <a:r>
              <a:t>Revenue Growth vs. Gross Margin — Does AI-Era Growth Buy Better Economics?</a:t>
            </a:r>
          </a:p>
        </rich>
      </tx>
    </title>
    <plotArea>
      <lineChart>
        <grouping val="standard"/>
        <ser>
          <idx val="0"/>
          <order val="0"/>
          <tx>
            <v>Gross margin %</v>
          </tx>
          <spPr>
            <a:ln xmlns:a="http://schemas.openxmlformats.org/drawingml/2006/main">
              <a:prstDash val="solid"/>
            </a:ln>
          </spPr>
          <marker>
            <symbol val="none"/>
            <spPr>
              <a:ln xmlns:a="http://schemas.openxmlformats.org/drawingml/2006/main">
                <a:prstDash val="solid"/>
              </a:ln>
            </spPr>
          </marker>
          <cat>
            <numRef>
              <f>'8. Margin Analysis'!$B$5:$F$5</f>
            </numRef>
          </cat>
          <val>
            <numRef>
              <f>'8. Margin Analysis'!$B$8:$F$8</f>
            </numRef>
          </val>
        </ser>
        <ser>
          <idx val="1"/>
          <order val="1"/>
          <tx>
            <v>Revenue growth % YoY</v>
          </tx>
          <spPr>
            <a:ln xmlns:a="http://schemas.openxmlformats.org/drawingml/2006/main">
              <a:prstDash val="solid"/>
            </a:ln>
          </spPr>
          <marker>
            <symbol val="none"/>
            <spPr>
              <a:ln xmlns:a="http://schemas.openxmlformats.org/drawingml/2006/main">
                <a:prstDash val="solid"/>
              </a:ln>
            </spPr>
          </marker>
          <cat>
            <numRef>
              <f>'8. Margin Analysis'!$B$5:$F$5</f>
            </numRef>
          </cat>
          <val>
            <numRef>
              <f>'2. Historical Financials'!$B$7:$F$7</f>
            </numRef>
          </val>
        </ser>
        <axId val="10"/>
        <axId val="100"/>
      </lineChart>
      <catAx>
        <axId val="10"/>
        <scaling>
          <orientation val="minMax"/>
        </scaling>
        <axPos val="l"/>
        <title>
          <tx>
            <rich>
              <a:bodyPr xmlns:a="http://schemas.openxmlformats.org/drawingml/2006/main"/>
              <a:p xmlns:a="http://schemas.openxmlformats.org/drawingml/2006/main">
                <a:pPr>
                  <a:defRPr/>
                </a:pPr>
                <a:r>
                  <a:t>Fiscal 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t>
                </a:r>
              </a:p>
            </rich>
          </tx>
        </title>
        <numFmt formatCode="0%" sourceLinked="0"/>
        <majorTickMark val="none"/>
        <minorTickMark val="none"/>
        <crossAx val="10"/>
      </valAx>
    </plotArea>
    <legend>
      <legendPos val="r"/>
    </legend>
    <plotVisOnly val="1"/>
    <dispBlanksAs val="gap"/>
  </chart>
</chartSpace>
</file>

<file path=xl/charts/chart10.xml><?xml version="1.0" encoding="utf-8"?>
<chartSpace xmlns="http://schemas.openxmlformats.org/drawingml/2006/chart">
  <style val="10"/>
  <chart>
    <title>
      <tx>
        <rich>
          <a:bodyPr xmlns:a="http://schemas.openxmlformats.org/drawingml/2006/main"/>
          <a:p xmlns:a="http://schemas.openxmlformats.org/drawingml/2006/main">
            <a:pPr>
              <a:defRPr/>
            </a:pPr>
            <a:r>
              <a:t>Revenue: FY2026A vs. FY2027E Consensus ($mm)</a:t>
            </a:r>
          </a:p>
        </rich>
      </tx>
    </title>
    <plotArea>
      <barChart>
        <barDir val="col"/>
        <grouping val="clustered"/>
        <ser>
          <idx val="0"/>
          <order val="0"/>
          <tx>
            <v>Revenue ($mm)</v>
          </tx>
          <spPr>
            <a:ln xmlns:a="http://schemas.openxmlformats.org/drawingml/2006/main">
              <a:prstDash val="solid"/>
            </a:ln>
          </spPr>
          <cat>
            <numRef>
              <f>'10. Consensus Estimates'!$B$4:$C$4</f>
            </numRef>
          </cat>
          <val>
            <numRef>
              <f>'10. Consensus Estimates'!$B$5:$C$5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millions</a:t>
                </a:r>
              </a:p>
            </rich>
          </tx>
        </title>
        <majorTickMark val="none"/>
        <minorTickMark val="none"/>
        <crossAx val="10"/>
      </valAx>
    </plotArea>
    <legend>
      <legendPos val="r"/>
    </legend>
    <plotVisOnly val="1"/>
    <dispBlanksAs val="gap"/>
  </chart>
</chartSpace>
</file>

<file path=xl/charts/chart11.xml><?xml version="1.0" encoding="utf-8"?>
<chartSpace xmlns="http://schemas.openxmlformats.org/drawingml/2006/chart">
  <style val="10"/>
  <chart>
    <title>
      <tx>
        <rich>
          <a:bodyPr xmlns:a="http://schemas.openxmlformats.org/drawingml/2006/main"/>
          <a:p xmlns:a="http://schemas.openxmlformats.org/drawingml/2006/main">
            <a:pPr>
              <a:defRPr/>
            </a:pPr>
            <a:r>
              <a:t>Diluted EPS: FY2026A vs. FY2027E Consensus ($)</a:t>
            </a:r>
          </a:p>
        </rich>
      </tx>
    </title>
    <plotArea>
      <barChart>
        <barDir val="col"/>
        <grouping val="clustered"/>
        <ser>
          <idx val="0"/>
          <order val="0"/>
          <tx>
            <v>Diluted EPS ($)</v>
          </tx>
          <spPr>
            <a:ln xmlns:a="http://schemas.openxmlformats.org/drawingml/2006/main">
              <a:prstDash val="solid"/>
            </a:ln>
          </spPr>
          <cat>
            <numRef>
              <f>'10. Consensus Estimates'!$B$4:$C$4</f>
            </numRef>
          </cat>
          <val>
            <numRef>
              <f>'10. Consensus Estimates'!$B$11:$C$11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 share</a:t>
                </a:r>
              </a:p>
            </rich>
          </tx>
        </title>
        <majorTickMark val="none"/>
        <minorTickMark val="none"/>
        <crossAx val="10"/>
      </valAx>
    </plotArea>
    <legend>
      <legendPos val="r"/>
    </legend>
    <plotVisOnly val="1"/>
    <dispBlanksAs val="gap"/>
  </chart>
</chartSpace>
</file>

<file path=xl/charts/chart12.xml><?xml version="1.0" encoding="utf-8"?>
<chartSpace xmlns="http://schemas.openxmlformats.org/drawingml/2006/chart">
  <style val="11"/>
  <chart>
    <title>
      <tx>
        <rich>
          <a:bodyPr xmlns:a="http://schemas.openxmlformats.org/drawingml/2006/main"/>
          <a:p xmlns:a="http://schemas.openxmlformats.org/drawingml/2006/main">
            <a:pPr>
              <a:defRPr/>
            </a:pPr>
            <a:r>
              <a:t>Bull / Base / Bear Implied Price Targets vs. Current Price</a:t>
            </a:r>
          </a:p>
        </rich>
      </tx>
    </title>
    <plotArea>
      <barChart>
        <barDir val="col"/>
        <grouping val="clustered"/>
        <ser>
          <idx val="0"/>
          <order val="0"/>
          <tx>
            <v>Implied price target (multiple × FY2029E EPS)</v>
          </tx>
          <spPr>
            <a:ln xmlns:a="http://schemas.openxmlformats.org/drawingml/2006/main">
              <a:prstDash val="solid"/>
            </a:ln>
          </spPr>
          <cat>
            <numRef>
              <f>'12. Valuation'!$B$5:$D$5</f>
            </numRef>
          </cat>
          <val>
            <numRef>
              <f>'12. Valuation'!$B$10:$D$10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 share</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FN Model</author>
  </authors>
  <commentList>
    <comment ref="B12" authorId="0" shapeId="0">
      <text>
        <t>stockanalysis.com, 6 analysts, accessed 2026-09-18 (external)</t>
      </text>
    </comment>
    <comment ref="B13" authorId="0" shapeId="0">
      <text>
        <t>stockanalysis.com, 6 analysts, accessed 2026-09-18 (external)</t>
      </text>
    </comment>
  </commentList>
</comments>
</file>

<file path=xl/comments/comment2.xml><?xml version="1.0" encoding="utf-8"?>
<comments xmlns="http://schemas.openxmlformats.org/spreadsheetml/2006/main">
  <authors>
    <author>FN Model</author>
  </authors>
  <commentList>
    <comment ref="B12" authorId="0" shapeId="0">
      <text>
        <t>Editable assumption. Historical YoY range FY23-26 (10K24/10K26)</t>
      </text>
    </comment>
    <comment ref="B13" authorId="0" shapeId="0">
      <text>
        <t>Editable assumption. Historical range FY22-26 (10K24/10K26)</t>
      </text>
    </comment>
    <comment ref="B14" authorId="0" shapeId="0">
      <text>
        <t>Editable assumption. Historical range FY22-26</t>
      </text>
    </comment>
    <comment ref="B15" authorId="0" shapeId="0">
      <text>
        <t>Editable assumption. Historical range FY22-26 (incl. FY26 Pillar Two effect)</t>
      </text>
    </comment>
    <comment ref="B16" authorId="0" shapeId="0">
      <text>
        <t>Editable assumption. Historical range FY22-26</t>
      </text>
    </comment>
    <comment ref="B17" authorId="0" shapeId="0">
      <text>
        <t>Editable assumption. Historical range FY22-26</t>
      </text>
    </comment>
    <comment ref="B18" authorId="0" shapeId="0">
      <text>
        <t>Editable assumption. Historical range FY23-26</t>
      </text>
    </comment>
    <comment ref="B19" authorId="0" shapeId="0">
      <text>
        <t>Editable assumption. Near FY26 actual (36.252mm)</t>
      </text>
    </comment>
    <comment ref="B38" authorId="0" shapeId="0">
      <text>
        <t>Editable assumption. Historical YoY range FY23-26 (10K24/10K26)</t>
      </text>
    </comment>
    <comment ref="B39" authorId="0" shapeId="0">
      <text>
        <t>Editable assumption. Historical range FY22-26 (10K24/10K26)</t>
      </text>
    </comment>
    <comment ref="B40" authorId="0" shapeId="0">
      <text>
        <t>Editable assumption. Historical range FY22-26</t>
      </text>
    </comment>
    <comment ref="B41" authorId="0" shapeId="0">
      <text>
        <t>Editable assumption. Historical range FY22-26 (incl. FY26 Pillar Two effect)</t>
      </text>
    </comment>
    <comment ref="B42" authorId="0" shapeId="0">
      <text>
        <t>Editable assumption. Historical range FY22-26</t>
      </text>
    </comment>
    <comment ref="B43" authorId="0" shapeId="0">
      <text>
        <t>Editable assumption. Historical range FY22-26</t>
      </text>
    </comment>
    <comment ref="B44" authorId="0" shapeId="0">
      <text>
        <t>Editable assumption. Historical range FY23-26</t>
      </text>
    </comment>
    <comment ref="B45" authorId="0" shapeId="0">
      <text>
        <t>Editable assumption. Near FY26 actual (36.252mm)</t>
      </text>
    </comment>
    <comment ref="B64" authorId="0" shapeId="0">
      <text>
        <t>Editable assumption. Historical YoY range FY23-26 (10K24/10K26)</t>
      </text>
    </comment>
    <comment ref="B65" authorId="0" shapeId="0">
      <text>
        <t>Editable assumption. Historical range FY22-26 (10K24/10K26)</t>
      </text>
    </comment>
    <comment ref="B66" authorId="0" shapeId="0">
      <text>
        <t>Editable assumption. Historical range FY22-26</t>
      </text>
    </comment>
    <comment ref="B67" authorId="0" shapeId="0">
      <text>
        <t>Editable assumption. Historical range FY22-26 (incl. FY26 Pillar Two effect)</t>
      </text>
    </comment>
    <comment ref="B68" authorId="0" shapeId="0">
      <text>
        <t>Editable assumption. Historical range FY22-26</t>
      </text>
    </comment>
    <comment ref="B69" authorId="0" shapeId="0">
      <text>
        <t>Editable assumption. Historical range FY22-26</t>
      </text>
    </comment>
    <comment ref="B70" authorId="0" shapeId="0">
      <text>
        <t>Editable assumption. Historical range FY23-26</t>
      </text>
    </comment>
    <comment ref="B71" authorId="0" shapeId="0">
      <text>
        <t>Editable assumption. Near FY26 actual (36.252mm)</t>
      </text>
    </comment>
  </commentList>
</comments>
</file>

<file path=xl/comments/comment3.xml><?xml version="1.0" encoding="utf-8"?>
<comments xmlns="http://schemas.openxmlformats.org/spreadsheetml/2006/main">
  <authors>
    <author>FN Model</author>
  </authors>
  <commentList>
    <comment ref="B9" authorId="0" shapeId="0">
      <text>
        <t>Editable. Anchor: below current 30.09x trailing P/E, reflecting further compression if the FCF/margin thesis plays out</t>
      </text>
    </comment>
    <comment ref="C9" authorId="0" shapeId="0">
      <text>
        <t>Editable. Anchor: current trailing P/E (Yahoo, 30.09x)</t>
      </text>
    </comment>
    <comment ref="D9" authorId="0" shapeId="0">
      <text>
        <t>Editable. Anchor: below the 38.07x March-2026 peak EV/EBITDA-implied multiple, since that peak has already reversed once</t>
      </text>
    </comment>
    <comment ref="B16" authorId="0" shapeId="0">
      <text>
        <t>Editable. Below current 21.17x</t>
      </text>
    </comment>
    <comment ref="C16" authorId="0" shapeId="0">
      <text>
        <t>Editable. Anchor: current EV/EBITDA (Yahoo-stated, 21.17x)</t>
      </text>
    </comment>
    <comment ref="D16" authorId="0" shapeId="0">
      <text>
        <t>Editable. Below the 38.07x March-2026 peak</t>
      </text>
    </comment>
    <comment ref="B42" authorId="0" shapeId="0">
      <text>
        <t>Yahoo Finance, 2026-09-18</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 Type="http://schemas.openxmlformats.org/officeDocument/2006/relationships/chart" Target="/xl/charts/chart6.xml" Id="rId4"/><Relationship Type="http://schemas.openxmlformats.org/officeDocument/2006/relationships/chart" Target="/xl/charts/chart7.xml" Id="rId5"/><Relationship Type="http://schemas.openxmlformats.org/officeDocument/2006/relationships/chart" Target="/xl/charts/chart8.xml" Id="rId6"/></Relationships>
</file>

<file path=xl/drawings/_rels/drawing4.xml.rels><Relationships xmlns="http://schemas.openxmlformats.org/package/2006/relationships"><Relationship Type="http://schemas.openxmlformats.org/officeDocument/2006/relationships/chart" Target="/xl/charts/chart9.xml" Id="rId1"/></Relationships>
</file>

<file path=xl/drawings/_rels/drawing5.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s>
</file>

<file path=xl/drawings/_rels/drawing6.xml.rels><Relationships xmlns="http://schemas.openxmlformats.org/package/2006/relationships"><Relationship Type="http://schemas.openxmlformats.org/officeDocument/2006/relationships/chart" Target="/xl/charts/chart12.xml" Id="rId1"/></Relationships>
</file>

<file path=xl/drawings/drawing1.xml><?xml version="1.0" encoding="utf-8"?>
<wsDr xmlns="http://schemas.openxmlformats.org/drawingml/2006/spreadsheetDrawing">
  <oneCellAnchor>
    <from>
      <col>0</col>
      <colOff>0</colOff>
      <row>36</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38</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0</col>
      <colOff>0</colOff>
      <row>45</row>
      <rowOff>0</rowOff>
    </from>
    <ext cx="576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45</row>
      <rowOff>0</rowOff>
    </from>
    <ext cx="5760000" cy="30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63</row>
      <rowOff>0</rowOff>
    </from>
    <ext cx="5760000" cy="30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7</col>
      <colOff>0</colOff>
      <row>63</row>
      <rowOff>0</rowOff>
    </from>
    <ext cx="5760000" cy="30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81</row>
      <rowOff>0</rowOff>
    </from>
    <ext cx="5760000" cy="30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7</col>
      <colOff>0</colOff>
      <row>81</row>
      <rowOff>0</rowOff>
    </from>
    <ext cx="5760000" cy="306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wsDr>
</file>

<file path=xl/drawings/drawing4.xml><?xml version="1.0" encoding="utf-8"?>
<wsDr xmlns="http://schemas.openxmlformats.org/drawingml/2006/spreadsheetDrawing">
  <oneCellAnchor>
    <from>
      <col>0</col>
      <colOff>0</colOff>
      <row>24</row>
      <rowOff>0</rowOff>
    </from>
    <ext cx="684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0</col>
      <colOff>0</colOff>
      <row>32</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32</row>
      <rowOff>0</rowOff>
    </from>
    <ext cx="504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6.xml><?xml version="1.0" encoding="utf-8"?>
<wsDr xmlns="http://schemas.openxmlformats.org/drawingml/2006/spreadsheetDrawing">
  <oneCellAnchor>
    <from>
      <col>0</col>
      <colOff>0</colOff>
      <row>54</row>
      <rowOff>0</rowOff>
    </from>
    <ext cx="648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9.xml.rels><Relationships xmlns="http://schemas.openxmlformats.org/package/2006/relationships"><Relationship Type="http://schemas.openxmlformats.org/officeDocument/2006/relationships/drawing" Target="/xl/drawings/drawing4.xml" Id="rId1"/></Relationships>
</file>

<file path=xl/worksheets/_rels/sheet11.xml.rels><Relationships xmlns="http://schemas.openxmlformats.org/package/2006/relationships"><Relationship Type="http://schemas.openxmlformats.org/officeDocument/2006/relationships/drawing" Target="/xl/drawings/drawing5.xml" Id="rId1"/></Relationships>
</file>

<file path=xl/worksheets/_rels/sheet1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3.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tabColor rgb="00C00000"/>
    <outlinePr summaryBelow="1" summaryRight="1"/>
    <pageSetUpPr/>
  </sheetPr>
  <dimension ref="A1:J45"/>
  <sheetViews>
    <sheetView showGridLines="0" workbookViewId="0">
      <pane ySplit="3" topLeftCell="A4" activePane="bottomLeft" state="frozen"/>
      <selection pane="bottomLeft"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30" customWidth="1" min="7" max="7"/>
  </cols>
  <sheetData>
    <row r="1" ht="30" customHeight="1">
      <c r="A1" s="1" t="inlineStr">
        <is>
          <t>FABRINET (NYSE: FN) — SHORT THESIS</t>
        </is>
      </c>
      <c r="B1" s="2" t="n"/>
      <c r="C1" s="2" t="n"/>
      <c r="D1" s="2" t="n"/>
      <c r="E1" s="2" t="n"/>
      <c r="F1" s="2" t="n"/>
      <c r="G1" s="2" t="n"/>
    </row>
    <row r="2" ht="16" customHeight="1">
      <c r="A2" s="3" t="inlineStr">
        <is>
          <t>Executive Dashboard  |  Price $386.64 (2026-09-18)  |  Position: SHORT  |  UChicago AI-Enabled Investing Competition</t>
        </is>
      </c>
      <c r="B2" s="2" t="n"/>
      <c r="C2" s="2" t="n"/>
      <c r="D2" s="2" t="n"/>
      <c r="E2" s="2" t="n"/>
      <c r="F2" s="2" t="n"/>
      <c r="G2" s="2" t="n"/>
    </row>
    <row r="4" ht="18" customHeight="1">
      <c r="A4" s="4" t="inlineStr">
        <is>
          <t>KEY METRICS (blue = external market data (Yahoo, 2026-09-18) or linked filing data; see cited tab)</t>
        </is>
      </c>
    </row>
    <row r="5" ht="28" customHeight="1">
      <c r="A5" s="5" t="inlineStr">
        <is>
          <t>Metric</t>
        </is>
      </c>
      <c r="B5" s="5" t="inlineStr">
        <is>
          <t>Value</t>
        </is>
      </c>
      <c r="C5" s="5" t="inlineStr"/>
      <c r="D5" s="5" t="inlineStr">
        <is>
          <t>Metric</t>
        </is>
      </c>
      <c r="E5" s="5" t="inlineStr">
        <is>
          <t>Value</t>
        </is>
      </c>
      <c r="F5" s="5" t="inlineStr"/>
      <c r="G5" s="5" t="inlineStr"/>
    </row>
    <row r="6">
      <c r="A6" s="6" t="inlineStr">
        <is>
          <t>Current price</t>
        </is>
      </c>
      <c r="B6" s="7" t="inlineStr">
        <is>
          <t>$386.64</t>
        </is>
      </c>
      <c r="D6" s="6" t="inlineStr">
        <is>
          <t>FY2026 EBITDA ($mm)</t>
        </is>
      </c>
      <c r="E6" s="8">
        <f>'2. Historical Financials'!F32</f>
        <v/>
      </c>
    </row>
    <row r="7">
      <c r="A7" s="6" t="inlineStr">
        <is>
          <t>Market capitalization ($mm)</t>
        </is>
      </c>
      <c r="B7" s="9" t="n">
        <v>14070</v>
      </c>
      <c r="D7" s="6" t="inlineStr">
        <is>
          <t>FY2026 EPS, diluted ($)</t>
        </is>
      </c>
      <c r="E7" s="10">
        <f>'2. Historical Financials'!F18</f>
        <v/>
      </c>
    </row>
    <row r="8">
      <c r="A8" s="6" t="inlineStr">
        <is>
          <t>Enterprise value ($mm)</t>
        </is>
      </c>
      <c r="B8" s="9" t="n">
        <v>13200</v>
      </c>
      <c r="D8" s="6" t="inlineStr">
        <is>
          <t>FY2026 FCF ($mm, cash-paid basis)</t>
        </is>
      </c>
      <c r="E8" s="8">
        <f>'2. Historical Financials'!F26</f>
        <v/>
      </c>
    </row>
    <row r="9">
      <c r="A9" s="6" t="inlineStr">
        <is>
          <t>FY2026 Revenue ($mm)</t>
        </is>
      </c>
      <c r="B9" s="8">
        <f>'2. Historical Financials'!F6</f>
        <v/>
      </c>
      <c r="D9" s="6" t="inlineStr">
        <is>
          <t>FY2026 FCF margin %</t>
        </is>
      </c>
      <c r="E9" s="11">
        <f>'2. Historical Financials'!F28</f>
        <v/>
      </c>
    </row>
    <row r="11" ht="28" customHeight="1">
      <c r="A11" s="5" t="inlineStr">
        <is>
          <t>Metric</t>
        </is>
      </c>
      <c r="B11" s="5" t="inlineStr">
        <is>
          <t>Value</t>
        </is>
      </c>
      <c r="C11" s="5" t="inlineStr"/>
      <c r="D11" s="5" t="inlineStr">
        <is>
          <t>Metric</t>
        </is>
      </c>
      <c r="E11" s="5" t="inlineStr">
        <is>
          <t>Value</t>
        </is>
      </c>
      <c r="F11" s="5" t="inlineStr"/>
      <c r="G11" s="5" t="inlineStr"/>
    </row>
    <row r="12">
      <c r="A12" s="6" t="inlineStr">
        <is>
          <t>FY2027 consensus revenue ($mm)</t>
        </is>
      </c>
      <c r="B12" s="9" t="n">
        <v>6090</v>
      </c>
      <c r="D12" s="6" t="inlineStr">
        <is>
          <t>EV / Revenue (FY26A)</t>
        </is>
      </c>
      <c r="E12" s="12">
        <f>13200.0/'2. Historical Financials'!F6</f>
        <v/>
      </c>
    </row>
    <row r="13">
      <c r="A13" s="6" t="inlineStr">
        <is>
          <t>FY2027 consensus EPS ($)</t>
        </is>
      </c>
      <c r="B13" s="13" t="n">
        <v>18.16</v>
      </c>
      <c r="D13" s="6" t="inlineStr">
        <is>
          <t>Forward P/E (FY27E)</t>
        </is>
      </c>
      <c r="E13" s="12">
        <f>386.64/B13</f>
        <v/>
      </c>
    </row>
    <row r="14">
      <c r="A14" s="6" t="inlineStr">
        <is>
          <t>FY2028E consensus revenue</t>
        </is>
      </c>
      <c r="B14" s="14" t="inlineStr">
        <is>
          <t>N/A — not independently verifiable as genuine polled consensus (see Tab 10)</t>
        </is>
      </c>
      <c r="D14" s="6" t="inlineStr">
        <is>
          <t>EV / EBITDA (Yahoo-stated / independently calc'd)</t>
        </is>
      </c>
      <c r="E14" s="15" t="inlineStr">
        <is>
          <t>21.17x stated / 24.87x calc'd (unreconciled)</t>
        </is>
      </c>
    </row>
    <row r="15">
      <c r="A15" s="6" t="inlineStr">
        <is>
          <t>FY2028E consensus EPS</t>
        </is>
      </c>
      <c r="B15" s="14" t="inlineStr">
        <is>
          <t>N/A — not independently verifiable as genuine polled consensus (see Tab 10)</t>
        </is>
      </c>
      <c r="D15" s="6" t="inlineStr">
        <is>
          <t>FCF yield (FY26A, cash-paid basis)</t>
        </is>
      </c>
      <c r="E15" s="11">
        <f>'2. Historical Financials'!F26/14070.0</f>
        <v/>
      </c>
    </row>
    <row r="17" ht="18" customHeight="1">
      <c r="A17" s="4" t="inlineStr">
        <is>
          <t>BULL / CONSENSUS / BEAR VALUATION SUMMARY (FY2029E; linked live from Tab 11 &amp; Tab 12)</t>
        </is>
      </c>
    </row>
    <row r="18" ht="28" customHeight="1">
      <c r="A18" s="5" t="inlineStr">
        <is>
          <t>Scenario</t>
        </is>
      </c>
      <c r="B18" s="5" t="inlineStr">
        <is>
          <t>Revenue ($mm)</t>
        </is>
      </c>
      <c r="C18" s="5" t="inlineStr">
        <is>
          <t>Growth %</t>
        </is>
      </c>
      <c r="D18" s="5" t="inlineStr">
        <is>
          <t>Gross margin %</t>
        </is>
      </c>
      <c r="E18" s="5" t="inlineStr">
        <is>
          <t>Op. margin %</t>
        </is>
      </c>
      <c r="F18" s="5" t="inlineStr">
        <is>
          <t>EPS ($)</t>
        </is>
      </c>
      <c r="G18" s="5" t="inlineStr">
        <is>
          <t>FCF ($mm)</t>
        </is>
      </c>
      <c r="H18" s="5" t="inlineStr">
        <is>
          <t>Mult.</t>
        </is>
      </c>
      <c r="I18" s="5" t="inlineStr">
        <is>
          <t>Price target</t>
        </is>
      </c>
      <c r="J18" s="5" t="inlineStr">
        <is>
          <t>Upside/downside</t>
        </is>
      </c>
    </row>
    <row r="19">
      <c r="A19" s="16" t="inlineStr">
        <is>
          <t>BEAR</t>
        </is>
      </c>
      <c r="B19" s="8">
        <f>'11. Scenario Model'!D22</f>
        <v/>
      </c>
      <c r="C19" s="11">
        <f>'11. Scenario Model'!D22/'2. Historical Financials'!F6-1</f>
        <v/>
      </c>
      <c r="D19" s="11">
        <f>'11. Scenario Model'!B13</f>
        <v/>
      </c>
      <c r="E19" s="11">
        <f>'11. Scenario Model'!D25</f>
        <v/>
      </c>
      <c r="F19" s="10">
        <f>'11. Scenario Model'!D27</f>
        <v/>
      </c>
      <c r="G19" s="8">
        <f>'11. Scenario Model'!D32</f>
        <v/>
      </c>
      <c r="H19" s="12">
        <f>'12. Valuation'!B9</f>
        <v/>
      </c>
      <c r="I19" s="10">
        <f>'12. Valuation'!B10</f>
        <v/>
      </c>
      <c r="J19" s="11">
        <f>'12. Valuation'!B11</f>
        <v/>
      </c>
    </row>
    <row r="20">
      <c r="A20" s="16" t="inlineStr">
        <is>
          <t>BASE / Consensus-anchored</t>
        </is>
      </c>
      <c r="B20" s="8">
        <f>'11. Scenario Model'!D48</f>
        <v/>
      </c>
      <c r="C20" s="11">
        <f>'11. Scenario Model'!D48/'2. Historical Financials'!F6-1</f>
        <v/>
      </c>
      <c r="D20" s="11">
        <f>'11. Scenario Model'!B39</f>
        <v/>
      </c>
      <c r="E20" s="11">
        <f>'11. Scenario Model'!D51</f>
        <v/>
      </c>
      <c r="F20" s="10">
        <f>'11. Scenario Model'!D53</f>
        <v/>
      </c>
      <c r="G20" s="8">
        <f>'11. Scenario Model'!D58</f>
        <v/>
      </c>
      <c r="H20" s="12">
        <f>'12. Valuation'!C9</f>
        <v/>
      </c>
      <c r="I20" s="10">
        <f>'12. Valuation'!C10</f>
        <v/>
      </c>
      <c r="J20" s="11">
        <f>'12. Valuation'!C11</f>
        <v/>
      </c>
    </row>
    <row r="21">
      <c r="A21" s="16" t="inlineStr">
        <is>
          <t>BULL</t>
        </is>
      </c>
      <c r="B21" s="8">
        <f>'11. Scenario Model'!D74</f>
        <v/>
      </c>
      <c r="C21" s="11">
        <f>'11. Scenario Model'!D74/'2. Historical Financials'!F6-1</f>
        <v/>
      </c>
      <c r="D21" s="11">
        <f>'11. Scenario Model'!B65</f>
        <v/>
      </c>
      <c r="E21" s="11">
        <f>'11. Scenario Model'!D77</f>
        <v/>
      </c>
      <c r="F21" s="10">
        <f>'11. Scenario Model'!D79</f>
        <v/>
      </c>
      <c r="G21" s="8">
        <f>'11. Scenario Model'!D84</f>
        <v/>
      </c>
      <c r="H21" s="12">
        <f>'12. Valuation'!D9</f>
        <v/>
      </c>
      <c r="I21" s="10">
        <f>'12. Valuation'!D10</f>
        <v/>
      </c>
      <c r="J21" s="11">
        <f>'12. Valuation'!D11</f>
        <v/>
      </c>
    </row>
    <row r="23">
      <c r="A23" s="17" t="inlineStr">
        <is>
          <t>Gross margin, operating margin, EPS, FCF and revenue growth all flow from the EDITABLE assumption cells on Tab 11 — change any yellow cell there and this table updates automatically. Price target = FY2029E EPS × selected P/E multiple (Tab 12).</t>
        </is>
      </c>
    </row>
    <row r="25" ht="18" customHeight="1">
      <c r="A25" s="4" t="inlineStr">
        <is>
          <t>MAJOR ASSUMPTIONS DRIVING THE BEAR CASE (from Tab 11, historical-range-derived, not invented)</t>
        </is>
      </c>
    </row>
    <row r="26" ht="26" customHeight="1">
      <c r="A26" s="18" t="inlineStr">
        <is>
          <t>• Revenue growth 9.0% — the LOWEST of FN's own 4 disclosed YoY growth observations (FY23-26), i.e. no further AI-cycle acceleration assumed.</t>
        </is>
      </c>
    </row>
    <row r="27" ht="26" customHeight="1">
      <c r="A27" s="18" t="inlineStr">
        <is>
          <t>• Gross margin 12.0% — held at FY2026's actual (already-depressed) level, the low end of the 5-year range.</t>
        </is>
      </c>
    </row>
    <row r="28" ht="26" customHeight="1">
      <c r="A28" s="18" t="inlineStr">
        <is>
          <t>• Capex/Revenue 5.47% — held at FY2026's actual (already-elevated) level, the high end of the 5-year range.</t>
        </is>
      </c>
    </row>
    <row r="29" ht="26" customHeight="1">
      <c r="A29" s="18" t="inlineStr">
        <is>
          <t>• Working-capital plug −23.3% of ΔRevenue — the WORST of FN's own 4 disclosed observations (FY23-26), i.e. the FY2026 cash-conversion problem is assumed to persist, not to normalize.</t>
        </is>
      </c>
    </row>
    <row r="30" ht="26" customHeight="1">
      <c r="A30" s="18" t="inlineStr">
        <is>
          <t>• P/E multiple 18x (assumption) — below the current 30.09x trailing P/E, reflecting further compression consistent with the reverse-DCF finding that today's price still requires an unprecedented sustained FCF margin.</t>
        </is>
      </c>
    </row>
    <row r="32" ht="18" customHeight="1">
      <c r="A32" s="19" t="inlineStr">
        <is>
          <t>1. SHORT THESIS</t>
        </is>
      </c>
    </row>
    <row r="33" ht="75" customHeight="1">
      <c r="A33" s="20" t="inlineStr">
        <is>
          <t>Fabrinet trades like an AI/datacenter compounder (EV/EBITDA ~21-25x, up to 38x in Mar-2026) but its own filings show a commodity-margin contract manufacturer: gross margin has NOT expanded despite the AI buildout (12.7% FY23 peak → 12.0% FY26), and FY2026 net income of $473.0mm produced only ~$3-4mm of conventional free cash flow (cash-paid capex basis) — a collapse driven by inventory nearly doubling (+75.8%) and a capex ramp from $47.5mm to $252.5mm cash-paid over two years. Management itself took on FN's first new debt in years ($75mm, Aug-2026) to keep funding the buildout.</t>
        </is>
      </c>
    </row>
    <row r="35" ht="18" customHeight="1">
      <c r="A35" s="19" t="inlineStr">
        <is>
          <t>2. KEY CATALYSTS</t>
        </is>
      </c>
    </row>
    <row r="36" ht="75" customHeight="1">
      <c r="A36" s="20" t="inlineStr">
        <is>
          <t>Next 1-2 quarterly prints (Nov-2026, ~Feb-2027) showing whether gross margin stays stuck near 12% and FCF stays near zero despite continued revenue growth; FY2027 capex guided to increase FURTHER per MD&amp;A; inventory/DIO trend; any second sell-side downgrade citing FCF/margin specifically (not just valuation, as JPMorgan's Apr-2026 downgrade did).</t>
        </is>
      </c>
    </row>
    <row r="38" ht="18" customHeight="1">
      <c r="A38" s="19" t="inlineStr">
        <is>
          <t>3. MAJOR RISKS</t>
        </is>
      </c>
    </row>
    <row r="39" ht="75" customHeight="1">
      <c r="A39" s="20" t="inlineStr">
        <is>
          <t>Stock already down ~48% from its 52-wk high and EV/EBITDA already compressed ~38x→21x — much of the move may be done; customer concentration is diversifying into share-gainers, not deteriorating (the 'easy' bear argument is actually weak); sell-side has NOT broadly downgraded on the FCF data; capex-driven FCF dips have precedent in FN's own history and can normalize; average analyst price target ($734) implies ~90% upside from here.</t>
        </is>
      </c>
    </row>
    <row r="41" ht="18" customHeight="1">
      <c r="A41" s="19" t="inlineStr">
        <is>
          <t>4. VARIANT PERCEPTION</t>
        </is>
      </c>
    </row>
    <row r="42" ht="75" customHeight="1">
      <c r="A42" s="20" t="inlineStr">
        <is>
          <t>The market believes Fabrinet's rising AI/datacenter exposure justifies a re-rated, compounder-like multiple. The filings show gross margin has never expanded with that mix shift (and briefly PEAKED before the AI buildout, in FY2023), and the 'AI mix' story is weaker than assumed — the recast 'Data center' segment is a SMALLER share of FY26 revenue (47.9%) than it was in FY2024 (53.1%), and 'Telecom,' a category FN itself labels non-AI, was the largest single dollar contributor to the most recent quarter's revenue growth.</t>
        </is>
      </c>
    </row>
    <row r="44" ht="18" customHeight="1">
      <c r="A44" s="19" t="inlineStr">
        <is>
          <t>5. WHAT WOULD INVALIDATE THE SHORT</t>
        </is>
      </c>
    </row>
    <row r="45" ht="75" customHeight="1">
      <c r="A45" s="20" t="inlineStr">
        <is>
          <t>Gross margin inflecting upward 100bp+ for two consecutive quarters despite rising mix (would break the no-pricing-power pillar); FCF (cash-paid basis) recovering toward FY2024's ~12.6% margin within 2-3 quarters (would break the cash-conversion pillar); revenue growth sustaining well above the Bear-case 9% floor while margin/FCF simultaneously improve (would confirm the bull re-rating case rather than the short).</t>
        </is>
      </c>
    </row>
  </sheetData>
  <mergeCells count="21">
    <mergeCell ref="A32:G32"/>
    <mergeCell ref="A17:G17"/>
    <mergeCell ref="A35:G35"/>
    <mergeCell ref="A4:G4"/>
    <mergeCell ref="A38:G38"/>
    <mergeCell ref="A29:G29"/>
    <mergeCell ref="A28:G28"/>
    <mergeCell ref="A44:G44"/>
    <mergeCell ref="A39:G39"/>
    <mergeCell ref="A30:G30"/>
    <mergeCell ref="A45:G45"/>
    <mergeCell ref="A36:G36"/>
    <mergeCell ref="A1:G1"/>
    <mergeCell ref="A25:G25"/>
    <mergeCell ref="A41:G41"/>
    <mergeCell ref="A27:G27"/>
    <mergeCell ref="A26:G26"/>
    <mergeCell ref="A2:G2"/>
    <mergeCell ref="A33:G33"/>
    <mergeCell ref="A42:G42"/>
    <mergeCell ref="A23:G23"/>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1F3864"/>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38" customWidth="1" min="1" max="1"/>
    <col width="70" customWidth="1" min="2" max="2"/>
    <col width="10" customWidth="1" min="3" max="3"/>
  </cols>
  <sheetData>
    <row r="1" ht="28" customHeight="1">
      <c r="A1" s="1" t="inlineStr">
        <is>
          <t>FABRINET (NYSE: FN) — SHORT THESIS MODEL</t>
        </is>
      </c>
      <c r="B1" s="2" t="n"/>
      <c r="C1" s="2" t="n"/>
    </row>
    <row r="2" ht="16" customHeight="1">
      <c r="A2" s="3" t="inlineStr">
        <is>
          <t>Institutional working model — built exclusively from SEC filings, with market data separately tagged</t>
        </is>
      </c>
      <c r="B2" s="2" t="n"/>
      <c r="C2" s="2" t="n"/>
    </row>
    <row r="4" ht="18" customHeight="1">
      <c r="A4" s="4" t="inlineStr">
        <is>
          <t>HOW TO READ THIS WORKBOOK</t>
        </is>
      </c>
    </row>
    <row r="5" ht="28" customHeight="1">
      <c r="A5" s="21" t="inlineStr">
        <is>
          <t>Blue text</t>
        </is>
      </c>
      <c r="B5" s="22" t="inlineStr">
        <is>
          <t>REPORTED FACT — hardcoded, taken directly from a 10-K, 10-Q, or (where labeled) external market data. Never a calculation.</t>
        </is>
      </c>
    </row>
    <row r="6" ht="28" customHeight="1">
      <c r="A6" s="21" t="inlineStr">
        <is>
          <t>Black text</t>
        </is>
      </c>
      <c r="B6" s="22" t="inlineStr">
        <is>
          <t>MECHANICALLY DERIVED — an Excel formula computed from reported facts elsewhere in this workbook (e.g. margin %, YoY growth, FCF).</t>
        </is>
      </c>
    </row>
    <row r="7" ht="28" customHeight="1">
      <c r="A7" s="23" t="inlineStr">
        <is>
          <t>Orange text on yellow fill</t>
        </is>
      </c>
      <c r="B7" s="22" t="inlineStr">
        <is>
          <t>ASSUMPTION — an editable input you can change. Changing it recalculates every downstream formula automatically.</t>
        </is>
      </c>
    </row>
    <row r="8" ht="28" customHeight="1">
      <c r="A8" s="21" t="inlineStr">
        <is>
          <t>Grey italic ‘N/A’</t>
        </is>
      </c>
      <c r="B8" s="22" t="inlineStr">
        <is>
          <t>Not disclosed in the filings retrieved for this model. Never filled with an estimate.</t>
        </is>
      </c>
    </row>
    <row r="10" ht="18" customHeight="1">
      <c r="A10" s="4" t="inlineStr">
        <is>
          <t>SOURCE ABBREVIATIONS USED THROUGHOUT</t>
        </is>
      </c>
    </row>
    <row r="11" ht="30" customHeight="1">
      <c r="A11" s="21" t="inlineStr">
        <is>
          <t>10K26</t>
        </is>
      </c>
      <c r="B11" s="22" t="inlineStr">
        <is>
          <t>Fabrinet Form 10-K for FY2026 (fiscal year ended June 26, 2026), filed 2026-08-18, SEC accession 0001408710-26-000028. Contains audited comparatives for FY2025 and FY2024.</t>
        </is>
      </c>
    </row>
    <row r="12" ht="30" customHeight="1">
      <c r="A12" s="21" t="inlineStr">
        <is>
          <t>10K24</t>
        </is>
      </c>
      <c r="B12" s="22" t="inlineStr">
        <is>
          <t>Fabrinet Form 10-K for FY2024 (fiscal year ended June 28, 2024), filed 2024-08-20, SEC accession 0001408710-24-000032. Contains audited comparatives for FY2023 and FY2022.</t>
        </is>
      </c>
    </row>
    <row r="13" ht="30" customHeight="1">
      <c r="A13" s="21" t="inlineStr">
        <is>
          <t>10Q</t>
        </is>
      </c>
      <c r="B13" s="22" t="inlineStr">
        <is>
          <t>Fabrinet Form 10-Q for the quarter ended March 27, 2026, SEC accession 0001408710-26-000016.</t>
        </is>
      </c>
    </row>
    <row r="14" ht="30" customHeight="1">
      <c r="A14" s="21" t="inlineStr">
        <is>
          <t>YHOO</t>
        </is>
      </c>
      <c r="B14" s="22" t="inlineStr">
        <is>
          <t>Yahoo Finance (finance.yahoo.com/quote/FN and /key-statistics), accessed 2026-09-18. EXTERNAL MARKET DATA — not a filing.</t>
        </is>
      </c>
    </row>
    <row r="15" ht="30" customHeight="1">
      <c r="A15" s="21" t="inlineStr">
        <is>
          <t>ANALYST</t>
        </is>
      </c>
      <c r="B15" s="22" t="inlineStr">
        <is>
          <t>Cross-verified sell-side analyst actions gathered via web research 2026-09-18; each row individually sourced (see Tab 9).</t>
        </is>
      </c>
    </row>
    <row r="16" ht="30" customHeight="1">
      <c r="A16" s="21" t="inlineStr">
        <is>
          <t>CONSENSUS</t>
        </is>
      </c>
      <c r="B16" s="22" t="inlineStr">
        <is>
          <t>Cross-verified consensus estimate aggregators (stockanalysis.com, MarketBeat, Investing.com), accessed 2026-09-18; see Tab 10 for per-figure sourcing.</t>
        </is>
      </c>
    </row>
    <row r="18" ht="18" customHeight="1">
      <c r="A18" s="4" t="inlineStr">
        <is>
          <t>MODELING CONSTRAINTS APPLIED</t>
        </is>
      </c>
    </row>
    <row r="19" ht="30" customHeight="1">
      <c r="A19" s="20" t="inlineStr">
        <is>
          <t>• Historical tabs (2,3,5,6,7,8) use ONLY figures explicitly reported in the 10-K/10-Q filings listed above. No analyst consensus, no invented growth rates, no backfilled numbers.</t>
        </is>
      </c>
    </row>
    <row r="20" ht="30" customHeight="1">
      <c r="A20" s="20" t="inlineStr">
        <is>
          <t>• Where the same metric is defined two ways within a filing (e.g. accrual-basis vs. cash-paid capex), BOTH are shown, labeled, and not silently reconciled.</t>
        </is>
      </c>
    </row>
    <row r="21" ht="30" customHeight="1">
      <c r="A21" s="20" t="inlineStr">
        <is>
          <t>• Where Fabrinet changed its segment-reporting categories (twice), all three regimes are shown side-by-side rather than force-mapped onto one another.</t>
        </is>
      </c>
    </row>
    <row r="22" ht="30" customHeight="1">
      <c r="A22" s="20" t="inlineStr">
        <is>
          <t>• Tabs 9 (Sell-Side Research) and 10 (Consensus Estimates) necessarily use external, non-filing data — this is unavoidable since no 10-K/10-Q discloses analyst targets or forward consensus. Every figure there is individually sourced and dated.</t>
        </is>
      </c>
    </row>
    <row r="23" ht="30" customHeight="1">
      <c r="A23" s="20" t="inlineStr">
        <is>
          <t>• The Scenario Model (Tab 11) and Valuation (Tab 12) use assumption cells seeded from historical filing ranges (min/avg/max), never from an invented industry CAGR. WACC and terminal growth are NOT derived from filings — they are left as editable external-input cells with a sensitivity grid, per instruction, rather than a single asserted ‘correct’ value.</t>
        </is>
      </c>
    </row>
    <row r="25">
      <c r="A25" s="24" t="inlineStr">
        <is>
          <t>Prepared for: UChicago AI-Enabled Investing Competition, Round 1  |  Position: SHORT Fabrinet (FN)  |  Model date: 2026-09-18</t>
        </is>
      </c>
    </row>
  </sheetData>
  <mergeCells count="11">
    <mergeCell ref="A10:C10"/>
    <mergeCell ref="A25:C25"/>
    <mergeCell ref="A19:C19"/>
    <mergeCell ref="A1:C1"/>
    <mergeCell ref="A23:C23"/>
    <mergeCell ref="A22:C22"/>
    <mergeCell ref="A18:C18"/>
    <mergeCell ref="A21:C21"/>
    <mergeCell ref="A4:C4"/>
    <mergeCell ref="A20:C20"/>
    <mergeCell ref="A2:C2"/>
  </mergeCells>
  <pageMargins left="0.75" right="0.75" top="1" bottom="1" header="0.5" footer="0.5"/>
</worksheet>
</file>

<file path=xl/worksheets/sheet3.xml><?xml version="1.0" encoding="utf-8"?>
<worksheet xmlns="http://schemas.openxmlformats.org/spreadsheetml/2006/main">
  <sheetPr>
    <tabColor rgb="002E5395"/>
    <outlinePr summaryBelow="1" summaryRight="1"/>
    <pageSetUpPr/>
  </sheetPr>
  <dimension ref="A1:J5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 width="30" customWidth="1" min="7" max="7"/>
  </cols>
  <sheetData>
    <row r="1" ht="28" customHeight="1">
      <c r="A1" s="1" t="inlineStr">
        <is>
          <t>2. HISTORICAL FINANCIALS</t>
        </is>
      </c>
      <c r="B1" s="2" t="n"/>
      <c r="C1" s="2" t="n"/>
      <c r="D1" s="2" t="n"/>
      <c r="E1" s="2" t="n"/>
      <c r="F1" s="2" t="n"/>
      <c r="G1" s="2" t="n"/>
    </row>
    <row r="2" ht="16" customHeight="1">
      <c r="A2" s="3" t="inlineStr">
        <is>
          <t>Fiscal years ended late June. $ in millions except per-share data. FY2022–FY2024 from 10K24; FY2025–FY2026 from 10K26.</t>
        </is>
      </c>
      <c r="B2" s="2" t="n"/>
      <c r="C2" s="2" t="n"/>
      <c r="D2" s="2" t="n"/>
      <c r="E2" s="2" t="n"/>
      <c r="F2" s="2" t="n"/>
      <c r="G2" s="2" t="n"/>
    </row>
    <row r="4" ht="28" customHeight="1">
      <c r="A4" s="5" t="inlineStr"/>
      <c r="B4" s="5" t="inlineStr">
        <is>
          <t>FY2022</t>
        </is>
      </c>
      <c r="C4" s="5" t="inlineStr">
        <is>
          <t>FY2023</t>
        </is>
      </c>
      <c r="D4" s="5" t="inlineStr">
        <is>
          <t>FY2024</t>
        </is>
      </c>
      <c r="E4" s="5" t="inlineStr">
        <is>
          <t>FY2025</t>
        </is>
      </c>
      <c r="F4" s="5" t="inlineStr">
        <is>
          <t>FY2026</t>
        </is>
      </c>
      <c r="G4" s="5" t="inlineStr">
        <is>
          <t>Source / Logic</t>
        </is>
      </c>
    </row>
    <row r="5" ht="18" customHeight="1">
      <c r="A5" s="4" t="inlineStr">
        <is>
          <t>INCOME STATEMENT</t>
        </is>
      </c>
    </row>
    <row r="6">
      <c r="A6" s="6" t="inlineStr">
        <is>
          <t>Revenue</t>
        </is>
      </c>
      <c r="B6" s="9" t="n">
        <v>2262.224</v>
      </c>
      <c r="C6" s="9" t="n">
        <v>2645.237</v>
      </c>
      <c r="D6" s="9" t="n">
        <v>2882.967</v>
      </c>
      <c r="E6" s="9" t="n">
        <v>3419.327</v>
      </c>
      <c r="F6" s="9" t="n">
        <v>4641.097</v>
      </c>
      <c r="G6" s="24" t="inlineStr">
        <is>
          <t>10K24 p.42 (FY22-24) / 10K26 p.44 (FY25-26)</t>
        </is>
      </c>
    </row>
    <row r="7">
      <c r="A7" s="25" t="inlineStr">
        <is>
          <t xml:space="preserve">  YoY growth %</t>
        </is>
      </c>
      <c r="B7" s="14" t="inlineStr">
        <is>
          <t>n/a (no FY21)</t>
        </is>
      </c>
      <c r="C7" s="11">
        <f>C6/B6-1</f>
        <v/>
      </c>
      <c r="D7" s="11">
        <f>D6/C6-1</f>
        <v/>
      </c>
      <c r="E7" s="11">
        <f>E6/D6-1</f>
        <v/>
      </c>
      <c r="F7" s="11">
        <f>F6/E6-1</f>
        <v/>
      </c>
      <c r="G7" s="24" t="inlineStr">
        <is>
          <t>Derived: Rev(t)/Rev(t-1)-1</t>
        </is>
      </c>
    </row>
    <row r="8">
      <c r="A8" s="6" t="inlineStr">
        <is>
          <t>Cost of revenue</t>
        </is>
      </c>
      <c r="B8" s="9" t="n">
        <v>-1983.63</v>
      </c>
      <c r="C8" s="9" t="n">
        <v>-2308.964</v>
      </c>
      <c r="D8" s="9" t="n">
        <v>-2526.849</v>
      </c>
      <c r="E8" s="9" t="n">
        <v>-3005.978</v>
      </c>
      <c r="F8" s="9" t="n">
        <v>-4084.586</v>
      </c>
      <c r="G8" s="24" t="inlineStr">
        <is>
          <t>10K24 / 10K26 Results of Operations table</t>
        </is>
      </c>
    </row>
    <row r="9">
      <c r="A9" s="16" t="inlineStr">
        <is>
          <t>Gross profit</t>
        </is>
      </c>
      <c r="B9" s="26">
        <f>B6+B8</f>
        <v/>
      </c>
      <c r="C9" s="26">
        <f>C6+C8</f>
        <v/>
      </c>
      <c r="D9" s="26">
        <f>D6+D8</f>
        <v/>
      </c>
      <c r="E9" s="26">
        <f>E6+E8</f>
        <v/>
      </c>
      <c r="F9" s="26">
        <f>F6+F8</f>
        <v/>
      </c>
      <c r="G9" s="24" t="inlineStr">
        <is>
          <t>Derived: Revenue + Cost of revenue (reported separately as 356.118/413.349/556.511 etc. — ties out)</t>
        </is>
      </c>
    </row>
    <row r="10">
      <c r="A10" s="25" t="inlineStr">
        <is>
          <t xml:space="preserve">  Gross margin %</t>
        </is>
      </c>
      <c r="B10" s="11">
        <f>B9/B6</f>
        <v/>
      </c>
      <c r="C10" s="11">
        <f>C9/C6</f>
        <v/>
      </c>
      <c r="D10" s="11">
        <f>D9/D6</f>
        <v/>
      </c>
      <c r="E10" s="11">
        <f>E9/E6</f>
        <v/>
      </c>
      <c r="F10" s="11">
        <f>F9/F6</f>
        <v/>
      </c>
      <c r="G10" s="24" t="inlineStr">
        <is>
          <t>Derived; also directly stated by 10-K as 12.3/12.7/12.4/12.1/12.0%</t>
        </is>
      </c>
    </row>
    <row r="11">
      <c r="A11" s="6" t="inlineStr">
        <is>
          <t>SG&amp;A</t>
        </is>
      </c>
      <c r="B11" s="9" t="n">
        <v>-73.941</v>
      </c>
      <c r="C11" s="9" t="n">
        <v>-77.673</v>
      </c>
      <c r="D11" s="9" t="n">
        <v>-78.48099999999999</v>
      </c>
      <c r="E11" s="9" t="n">
        <v>-87.46599999999999</v>
      </c>
      <c r="F11" s="9" t="n">
        <v>-93.50700000000001</v>
      </c>
      <c r="G11" s="24" t="inlineStr">
        <is>
          <t>10K24 / 10K26</t>
        </is>
      </c>
    </row>
    <row r="12">
      <c r="A12" s="6" t="inlineStr">
        <is>
          <t>R&amp;D (disclosed separately)</t>
        </is>
      </c>
      <c r="B12" s="14" t="inlineStr">
        <is>
          <t>Not broken out — FN does not separately disclose R&amp;D on the income statement</t>
        </is>
      </c>
      <c r="C12" s="14" t="inlineStr">
        <is>
          <t>Not broken out — FN does not separately disclose R&amp;D on the income statement</t>
        </is>
      </c>
      <c r="D12" s="14" t="inlineStr">
        <is>
          <t>Not broken out — FN does not separately disclose R&amp;D on the income statement</t>
        </is>
      </c>
      <c r="E12" s="14" t="inlineStr">
        <is>
          <t>Not broken out — FN does not separately disclose R&amp;D on the income statement</t>
        </is>
      </c>
      <c r="F12" s="14" t="inlineStr">
        <is>
          <t>Not broken out — FN does not separately disclose R&amp;D on the income statement</t>
        </is>
      </c>
    </row>
    <row r="13">
      <c r="A13" s="6" t="inlineStr">
        <is>
          <t>Restructuring &amp; other</t>
        </is>
      </c>
      <c r="B13" s="9" t="n">
        <v>-0.135</v>
      </c>
      <c r="C13" s="9" t="n">
        <v>-6.896</v>
      </c>
      <c r="D13" s="9" t="n">
        <v>-0.032</v>
      </c>
      <c r="E13" s="9" t="n">
        <v>-1.436</v>
      </c>
      <c r="F13" s="9" t="n">
        <v>-0.117</v>
      </c>
      <c r="G13" s="24" t="inlineStr">
        <is>
          <t>10K24 / 10K26</t>
        </is>
      </c>
    </row>
    <row r="14">
      <c r="A14" s="16" t="inlineStr">
        <is>
          <t>Operating income</t>
        </is>
      </c>
      <c r="B14" s="26">
        <f>B9+B11+B13</f>
        <v/>
      </c>
      <c r="C14" s="26">
        <f>C9+C11+C13</f>
        <v/>
      </c>
      <c r="D14" s="26">
        <f>D9+D11+D13</f>
        <v/>
      </c>
      <c r="E14" s="26">
        <f>E9+E11+E13</f>
        <v/>
      </c>
      <c r="F14" s="26">
        <f>F9+F11+F13</f>
        <v/>
      </c>
      <c r="G14" s="24" t="inlineStr">
        <is>
          <t>Derived: GP + SG&amp;A + Restructuring</t>
        </is>
      </c>
    </row>
    <row r="15">
      <c r="A15" s="25" t="inlineStr">
        <is>
          <t xml:space="preserve">  Operating margin %</t>
        </is>
      </c>
      <c r="B15" s="11">
        <f>B14/B6</f>
        <v/>
      </c>
      <c r="C15" s="11">
        <f>C14/C6</f>
        <v/>
      </c>
      <c r="D15" s="11">
        <f>D14/D6</f>
        <v/>
      </c>
      <c r="E15" s="11">
        <f>E14/E6</f>
        <v/>
      </c>
      <c r="F15" s="11">
        <f>F14/F6</f>
        <v/>
      </c>
    </row>
    <row r="16">
      <c r="A16" s="16" t="inlineStr">
        <is>
          <t>Net income</t>
        </is>
      </c>
      <c r="B16" s="27" t="n">
        <v>200.38</v>
      </c>
      <c r="C16" s="27" t="n">
        <v>247.913</v>
      </c>
      <c r="D16" s="27" t="n">
        <v>296.181</v>
      </c>
      <c r="E16" s="27" t="n">
        <v>332.527</v>
      </c>
      <c r="F16" s="27" t="n">
        <v>473.027</v>
      </c>
      <c r="G16" s="24" t="inlineStr">
        <is>
          <t>10K24 / 10K26 (includes non-operating items: interest income/expense, FX, other income, tax)</t>
        </is>
      </c>
    </row>
    <row r="17">
      <c r="A17" s="25" t="inlineStr">
        <is>
          <t xml:space="preserve">  Net margin %</t>
        </is>
      </c>
      <c r="B17" s="11">
        <f>B16/B6</f>
        <v/>
      </c>
      <c r="C17" s="11">
        <f>C16/C6</f>
        <v/>
      </c>
      <c r="D17" s="11">
        <f>D16/D6</f>
        <v/>
      </c>
      <c r="E17" s="11">
        <f>E16/E6</f>
        <v/>
      </c>
      <c r="F17" s="11">
        <f>F16/F6</f>
        <v/>
      </c>
    </row>
    <row r="18">
      <c r="A18" s="6" t="inlineStr">
        <is>
          <t>Diluted EPS ($/sh)</t>
        </is>
      </c>
      <c r="B18" s="14" t="inlineStr">
        <is>
          <t>N/A — not disclosed in filings provided</t>
        </is>
      </c>
      <c r="C18" s="14" t="inlineStr">
        <is>
          <t>N/A — not disclosed in filings provided</t>
        </is>
      </c>
      <c r="D18" s="13" t="n">
        <v>8.1</v>
      </c>
      <c r="E18" s="13" t="n">
        <v>9.17</v>
      </c>
      <c r="F18" s="13" t="n">
        <v>13.05</v>
      </c>
      <c r="G18" s="24" t="inlineStr">
        <is>
          <t>10K26 p.54 (FY24-26). FY22-23 diluted EPS not extracted from 10K24 in this pass.</t>
        </is>
      </c>
    </row>
    <row r="19">
      <c r="A19" s="6" t="inlineStr">
        <is>
          <t>Basic EPS ($/sh)</t>
        </is>
      </c>
      <c r="B19" s="14" t="inlineStr">
        <is>
          <t>N/A — not disclosed in filings provided</t>
        </is>
      </c>
      <c r="C19" s="14" t="inlineStr">
        <is>
          <t>N/A — not disclosed in filings provided</t>
        </is>
      </c>
      <c r="D19" s="13" t="n">
        <v>8.17</v>
      </c>
      <c r="E19" s="13" t="n">
        <v>9.23</v>
      </c>
      <c r="F19" s="13" t="n">
        <v>13.21</v>
      </c>
    </row>
    <row r="20" ht="18" customHeight="1">
      <c r="A20" s="4" t="inlineStr">
        <is>
          <t>CASH FLOW</t>
        </is>
      </c>
    </row>
    <row r="21">
      <c r="A21" s="16" t="inlineStr">
        <is>
          <t>Cash from operations (CFO)</t>
        </is>
      </c>
      <c r="B21" s="27" t="n">
        <v>124.246</v>
      </c>
      <c r="C21" s="27" t="n">
        <v>213.31</v>
      </c>
      <c r="D21" s="27" t="n">
        <v>413.146</v>
      </c>
      <c r="E21" s="27" t="n">
        <v>328.365</v>
      </c>
      <c r="F21" s="27" t="n">
        <v>256.725</v>
      </c>
      <c r="G21" s="24" t="inlineStr">
        <is>
          <t>10K24 / 10K26 Consolidated Statements of Cash Flows</t>
        </is>
      </c>
    </row>
    <row r="22">
      <c r="A22" s="6" t="inlineStr">
        <is>
          <t>Capex — accrual basis (MD&amp;A table)</t>
        </is>
      </c>
      <c r="B22" s="9" t="n">
        <v>80.462</v>
      </c>
      <c r="C22" s="9" t="n">
        <v>66.712</v>
      </c>
      <c r="D22" s="9" t="n">
        <v>49.27</v>
      </c>
      <c r="E22" s="9" t="n">
        <v>130.658</v>
      </c>
      <c r="F22" s="9" t="n">
        <v>298.921</v>
      </c>
      <c r="G22" s="24" t="inlineStr">
        <is>
          <t>10K24/10K26 MD&amp;A ‘Capital Expenditures’ table — “includes amounts for which payments have been accrued”</t>
        </is>
      </c>
    </row>
    <row r="23">
      <c r="A23" s="6" t="inlineStr">
        <is>
          <t>Capex — cash-paid (PP&amp;E, from CF stmt)</t>
        </is>
      </c>
      <c r="B23" s="9" t="n">
        <v>89.58799999999999</v>
      </c>
      <c r="C23" s="9" t="n">
        <v>61.36</v>
      </c>
      <c r="D23" s="9" t="n">
        <v>47.528</v>
      </c>
      <c r="E23" s="9" t="n">
        <v>121.078</v>
      </c>
      <c r="F23" s="9" t="n">
        <v>252.503</v>
      </c>
      <c r="G23" s="24" t="inlineStr">
        <is>
          <t>10K24/10K26 Statements of Cash Flows, ‘Purchase of property, plant and equipment’</t>
        </is>
      </c>
    </row>
    <row r="24">
      <c r="A24" s="6" t="inlineStr">
        <is>
          <t>Capex — cash-paid intangibles</t>
        </is>
      </c>
      <c r="B24" s="9" t="n">
        <v>0.995</v>
      </c>
      <c r="C24" s="9" t="n">
        <v>0.911</v>
      </c>
      <c r="D24" s="9" t="n">
        <v>0.889</v>
      </c>
      <c r="E24" s="9" t="n">
        <v>0.738</v>
      </c>
      <c r="F24" s="9" t="n">
        <v>1.181</v>
      </c>
    </row>
    <row r="25">
      <c r="A25" s="17" t="inlineStr">
        <is>
          <t>⚠ DISCLOSURE NOTE: the two capex bases differ within the SAME filing by definition (accrual includes amounts accrued-but-unpaid). Not reconciled per modeling constraint — both used separately below.</t>
        </is>
      </c>
    </row>
    <row r="26">
      <c r="A26" s="16" t="inlineStr">
        <is>
          <t>FCF (cash-paid basis) = CFO − cash capex − cash intangibles</t>
        </is>
      </c>
      <c r="B26" s="26">
        <f>B21-B23-B24</f>
        <v/>
      </c>
      <c r="C26" s="26">
        <f>C21-C23-C24</f>
        <v/>
      </c>
      <c r="D26" s="26">
        <f>D21-D23-D24</f>
        <v/>
      </c>
      <c r="E26" s="26">
        <f>E21-E23-E24</f>
        <v/>
      </c>
      <c r="F26" s="26">
        <f>F21-F23-F24</f>
        <v/>
      </c>
    </row>
    <row r="27">
      <c r="A27" s="6" t="inlineStr">
        <is>
          <t>FCF (accrual capex basis) = CFO − accrual capex</t>
        </is>
      </c>
      <c r="B27" s="8">
        <f>B21-B22</f>
        <v/>
      </c>
      <c r="C27" s="8">
        <f>C21-C22</f>
        <v/>
      </c>
      <c r="D27" s="8">
        <f>D21-D22</f>
        <v/>
      </c>
      <c r="E27" s="8">
        <f>E21-E22</f>
        <v/>
      </c>
      <c r="F27" s="8">
        <f>F21-F22</f>
        <v/>
      </c>
    </row>
    <row r="28">
      <c r="A28" s="25" t="inlineStr">
        <is>
          <t xml:space="preserve">  FCF margin % (cash-paid basis)</t>
        </is>
      </c>
      <c r="B28" s="11">
        <f>B26/B6</f>
        <v/>
      </c>
      <c r="C28" s="11">
        <f>C26/C6</f>
        <v/>
      </c>
      <c r="D28" s="11">
        <f>D26/D6</f>
        <v/>
      </c>
      <c r="E28" s="11">
        <f>E26/E6</f>
        <v/>
      </c>
      <c r="F28" s="11">
        <f>F26/F6</f>
        <v/>
      </c>
    </row>
    <row r="29">
      <c r="A29" s="25" t="inlineStr">
        <is>
          <t xml:space="preserve">  FCF / Net income (cash-paid basis)</t>
        </is>
      </c>
      <c r="B29" s="11">
        <f>B26/B16</f>
        <v/>
      </c>
      <c r="C29" s="11">
        <f>C26/C16</f>
        <v/>
      </c>
      <c r="D29" s="11">
        <f>D26/D16</f>
        <v/>
      </c>
      <c r="E29" s="11">
        <f>E26/E16</f>
        <v/>
      </c>
      <c r="F29" s="11">
        <f>F26/F16</f>
        <v/>
      </c>
    </row>
    <row r="30">
      <c r="A30" s="25" t="inlineStr">
        <is>
          <t xml:space="preserve">  CFO / Net income</t>
        </is>
      </c>
      <c r="B30" s="11">
        <f>B21/B16</f>
        <v/>
      </c>
      <c r="C30" s="11">
        <f>C21/C16</f>
        <v/>
      </c>
      <c r="D30" s="11">
        <f>D21/D16</f>
        <v/>
      </c>
      <c r="E30" s="11">
        <f>E21/E16</f>
        <v/>
      </c>
      <c r="F30" s="11">
        <f>F21/F16</f>
        <v/>
      </c>
    </row>
    <row r="31">
      <c r="A31" s="6" t="inlineStr">
        <is>
          <t>D&amp;A (from CF stmt)</t>
        </is>
      </c>
      <c r="B31" s="9" t="n">
        <v>38.738</v>
      </c>
      <c r="C31" s="9" t="n">
        <v>43.832</v>
      </c>
      <c r="D31" s="9" t="n">
        <v>49.017</v>
      </c>
      <c r="E31" s="9" t="n">
        <v>53.433</v>
      </c>
      <c r="F31" s="9" t="n">
        <v>68.371</v>
      </c>
      <c r="G31" s="24" t="inlineStr">
        <is>
          <t>10K24/10K26 Statements of Cash Flows</t>
        </is>
      </c>
    </row>
    <row r="32">
      <c r="A32" s="16" t="inlineStr">
        <is>
          <t>EBITDA (derived) = Operating income + D&amp;A</t>
        </is>
      </c>
      <c r="B32" s="26">
        <f>B14+B31</f>
        <v/>
      </c>
      <c r="C32" s="26">
        <f>C14+C31</f>
        <v/>
      </c>
      <c r="D32" s="26">
        <f>D14+D31</f>
        <v/>
      </c>
      <c r="E32" s="26">
        <f>E14+E31</f>
        <v/>
      </c>
      <c r="F32" s="26">
        <f>F14+F31</f>
        <v/>
      </c>
    </row>
    <row r="33" ht="18" customHeight="1">
      <c r="A33" s="4" t="inlineStr">
        <is>
          <t>BALANCE SHEET / WORKING CAPITAL</t>
        </is>
      </c>
    </row>
    <row r="34">
      <c r="A34" s="6" t="inlineStr">
        <is>
          <t>Cash and cash equivalents</t>
        </is>
      </c>
      <c r="B34" s="14" t="inlineStr">
        <is>
          <t>N/A — not disclosed in filings provided</t>
        </is>
      </c>
      <c r="C34" s="9" t="n">
        <v>231.368</v>
      </c>
      <c r="D34" s="9" t="n">
        <v>409.973</v>
      </c>
      <c r="E34" s="9" t="n">
        <v>306.425</v>
      </c>
      <c r="F34" s="9" t="n">
        <v>346.711</v>
      </c>
      <c r="G34" s="24" t="inlineStr">
        <is>
          <t>10K24/10K26 Balance Sheet. FY22 not shown (10-K balance sheet presents only 2 yrs).</t>
        </is>
      </c>
    </row>
    <row r="35">
      <c r="A35" s="6" t="inlineStr">
        <is>
          <t>Short-term investments</t>
        </is>
      </c>
      <c r="B35" s="14" t="inlineStr">
        <is>
          <t>N/A — not disclosed in filings provided</t>
        </is>
      </c>
      <c r="C35" s="9" t="n">
        <v>319.1</v>
      </c>
      <c r="D35" s="9" t="n">
        <v>448.63</v>
      </c>
      <c r="E35" s="9" t="n">
        <v>627.819</v>
      </c>
      <c r="F35" s="9" t="n">
        <v>528.3440000000001</v>
      </c>
    </row>
    <row r="36">
      <c r="A36" s="25" t="inlineStr">
        <is>
          <t xml:space="preserve">  Memo: cash + ST invest. (MD&amp;A aggregate)</t>
        </is>
      </c>
      <c r="B36" s="9" t="n">
        <v>478.2</v>
      </c>
      <c r="C36" s="9" t="n">
        <v>550.5</v>
      </c>
      <c r="D36" s="9" t="n">
        <v>858.6</v>
      </c>
      <c r="E36" s="9" t="n">
        <v>934.2</v>
      </c>
      <c r="F36" s="9" t="n">
        <v>875.1</v>
      </c>
      <c r="G36" s="24" t="inlineStr">
        <is>
          <t>10K24/10K26 MD&amp;A Liquidity discussion — independently stated aggregate; ties to Cash+ST Inv rows above for FY23-26</t>
        </is>
      </c>
    </row>
    <row r="37">
      <c r="A37" s="6" t="inlineStr">
        <is>
          <t>Trade accounts receivable, net</t>
        </is>
      </c>
      <c r="B37" s="14" t="inlineStr">
        <is>
          <t>N/A — not disclosed in filings provided</t>
        </is>
      </c>
      <c r="C37" s="9" t="n">
        <v>531.7670000000001</v>
      </c>
      <c r="D37" s="9" t="n">
        <v>592.452</v>
      </c>
      <c r="E37" s="9" t="n">
        <v>758.894</v>
      </c>
      <c r="F37" s="9" t="n">
        <v>1017.933</v>
      </c>
      <c r="G37" s="24" t="inlineStr">
        <is>
          <t>10K24/10K26 Balance Sheet</t>
        </is>
      </c>
    </row>
    <row r="38">
      <c r="A38" s="16" t="inlineStr">
        <is>
          <t>Inventories, total</t>
        </is>
      </c>
      <c r="B38" s="14" t="inlineStr">
        <is>
          <t>N/A — not disclosed in filings provided</t>
        </is>
      </c>
      <c r="C38" s="27" t="n">
        <v>519.576</v>
      </c>
      <c r="D38" s="27" t="n">
        <v>463.206</v>
      </c>
      <c r="E38" s="27" t="n">
        <v>581.015</v>
      </c>
      <c r="F38" s="27" t="n">
        <v>1021.235</v>
      </c>
    </row>
    <row r="39">
      <c r="A39" s="25" t="inlineStr">
        <is>
          <t xml:space="preserve">  Raw materials</t>
        </is>
      </c>
      <c r="B39" s="14" t="inlineStr">
        <is>
          <t>N/A — not disclosed in filings provided</t>
        </is>
      </c>
      <c r="C39" s="14" t="inlineStr">
        <is>
          <t>N/A — not disclosed in filings provided</t>
        </is>
      </c>
      <c r="D39" s="14" t="inlineStr">
        <is>
          <t>N/A — not disclosed in filings provided</t>
        </is>
      </c>
      <c r="E39" s="9" t="n">
        <v>145.128</v>
      </c>
      <c r="F39" s="9" t="n">
        <v>374.773</v>
      </c>
      <c r="G39" s="24" t="inlineStr">
        <is>
          <t>10K26 Note 10 (FY25-26 only; FY22-24 breakdown not disclosed in 10K24 extract)</t>
        </is>
      </c>
    </row>
    <row r="40">
      <c r="A40" s="25" t="inlineStr">
        <is>
          <t xml:space="preserve">  Work in progress</t>
        </is>
      </c>
      <c r="B40" s="14" t="inlineStr">
        <is>
          <t>N/A — not disclosed in filings provided</t>
        </is>
      </c>
      <c r="C40" s="14" t="inlineStr">
        <is>
          <t>N/A — not disclosed in filings provided</t>
        </is>
      </c>
      <c r="D40" s="14" t="inlineStr">
        <is>
          <t>N/A — not disclosed in filings provided</t>
        </is>
      </c>
      <c r="E40" s="9" t="n">
        <v>377.736</v>
      </c>
      <c r="F40" s="9" t="n">
        <v>568.3</v>
      </c>
    </row>
    <row r="41">
      <c r="A41" s="25" t="inlineStr">
        <is>
          <t xml:space="preserve">  Finished goods</t>
        </is>
      </c>
      <c r="B41" s="14" t="inlineStr">
        <is>
          <t>N/A — not disclosed in filings provided</t>
        </is>
      </c>
      <c r="C41" s="14" t="inlineStr">
        <is>
          <t>N/A — not disclosed in filings provided</t>
        </is>
      </c>
      <c r="D41" s="14" t="inlineStr">
        <is>
          <t>N/A — not disclosed in filings provided</t>
        </is>
      </c>
      <c r="E41" s="9" t="n">
        <v>33.016</v>
      </c>
      <c r="F41" s="9" t="n">
        <v>30.967</v>
      </c>
    </row>
    <row r="42">
      <c r="A42" s="25" t="inlineStr">
        <is>
          <t xml:space="preserve">  Goods in transit</t>
        </is>
      </c>
      <c r="B42" s="14" t="inlineStr">
        <is>
          <t>N/A — not disclosed in filings provided</t>
        </is>
      </c>
      <c r="C42" s="14" t="inlineStr">
        <is>
          <t>N/A — not disclosed in filings provided</t>
        </is>
      </c>
      <c r="D42" s="14" t="inlineStr">
        <is>
          <t>N/A — not disclosed in filings provided</t>
        </is>
      </c>
      <c r="E42" s="9" t="n">
        <v>25.135</v>
      </c>
      <c r="F42" s="9" t="n">
        <v>47.195</v>
      </c>
    </row>
    <row r="43">
      <c r="A43" s="6" t="inlineStr">
        <is>
          <t>Trade accounts payable</t>
        </is>
      </c>
      <c r="B43" s="14" t="inlineStr">
        <is>
          <t>N/A — not disclosed in filings provided</t>
        </is>
      </c>
      <c r="C43" s="9" t="n">
        <v>381.129</v>
      </c>
      <c r="D43" s="9" t="n">
        <v>441.835</v>
      </c>
      <c r="E43" s="9" t="n">
        <v>637.417</v>
      </c>
      <c r="F43" s="9" t="n">
        <v>1005.761</v>
      </c>
      <c r="G43" s="24" t="inlineStr">
        <is>
          <t>10K24/10K26 Balance Sheet</t>
        </is>
      </c>
    </row>
    <row r="44">
      <c r="A44" s="6" t="inlineStr">
        <is>
          <t>Total debt (fiscal year-end)</t>
        </is>
      </c>
      <c r="B44" s="14" t="inlineStr">
        <is>
          <t>N/A — not disclosed in filings provided</t>
        </is>
      </c>
      <c r="C44" s="9" t="n">
        <v>12.156</v>
      </c>
      <c r="D44" s="9" t="n">
        <v>0</v>
      </c>
      <c r="E44" s="9" t="n">
        <v>0</v>
      </c>
      <c r="F44" s="9" t="n">
        <v>0</v>
      </c>
      <c r="G44" s="24" t="inlineStr">
        <is>
          <t>MD&amp;A states ‘no outstanding debt’ FY24-26; FY23 had $12.156mm LT borrowing current portion. Excludes ~$75mm term loan signed 8/17/2026 (post-FY26 subsequent event, Note 19).</t>
        </is>
      </c>
    </row>
    <row r="45">
      <c r="A45" s="16" t="inlineStr">
        <is>
          <t>Net working capital = AR + Inventory − AP</t>
        </is>
      </c>
      <c r="B45" s="14" t="inlineStr">
        <is>
          <t>N/A — not disclosed in filings provided</t>
        </is>
      </c>
      <c r="C45" s="26">
        <f>C37+C38-C43</f>
        <v/>
      </c>
      <c r="D45" s="26">
        <f>D37+D38-D43</f>
        <v/>
      </c>
      <c r="E45" s="26">
        <f>E37+E38-E43</f>
        <v/>
      </c>
      <c r="F45" s="26">
        <f>F37+F38-F43</f>
        <v/>
      </c>
    </row>
    <row r="46" ht="18" customHeight="1">
      <c r="A46" s="4" t="inlineStr">
        <is>
          <t>WORKING CAPITAL EFFICIENCY (derived; days ratios use fiscal-year-end balances, not averages, since only 2 yrs of balance-sheet data are available for most years)</t>
        </is>
      </c>
    </row>
    <row r="47">
      <c r="A47" s="6" t="inlineStr">
        <is>
          <t>Inventory growth % YoY</t>
        </is>
      </c>
      <c r="B47" s="14" t="inlineStr">
        <is>
          <t>n/a</t>
        </is>
      </c>
      <c r="C47" s="14" t="inlineStr">
        <is>
          <t>n/a</t>
        </is>
      </c>
      <c r="D47" s="11">
        <f>D38/C38-1</f>
        <v/>
      </c>
      <c r="E47" s="11">
        <f>E38/D38-1</f>
        <v/>
      </c>
      <c r="F47" s="11">
        <f>F38/E38-1</f>
        <v/>
      </c>
    </row>
    <row r="48">
      <c r="A48" s="6" t="inlineStr">
        <is>
          <t>Inventory / Revenue</t>
        </is>
      </c>
      <c r="B48" s="14" t="inlineStr">
        <is>
          <t>N/A — not disclosed in filings provided</t>
        </is>
      </c>
      <c r="C48" s="11">
        <f>C38/C6</f>
        <v/>
      </c>
      <c r="D48" s="11">
        <f>D38/D6</f>
        <v/>
      </c>
      <c r="E48" s="11">
        <f>E38/E6</f>
        <v/>
      </c>
      <c r="F48" s="11">
        <f>F38/F6</f>
        <v/>
      </c>
    </row>
    <row r="49">
      <c r="A49" s="6" t="inlineStr">
        <is>
          <t>DIO (Inventory days) = Inv / COGS * 365</t>
        </is>
      </c>
      <c r="B49" s="14" t="inlineStr">
        <is>
          <t>N/A — not disclosed in filings provided</t>
        </is>
      </c>
      <c r="C49" s="28">
        <f>C38/-C8*365</f>
        <v/>
      </c>
      <c r="D49" s="28">
        <f>D38/-D8*365</f>
        <v/>
      </c>
      <c r="E49" s="28">
        <f>E38/-E8*365</f>
        <v/>
      </c>
      <c r="F49" s="28">
        <f>F38/-F8*365</f>
        <v/>
      </c>
    </row>
    <row r="50">
      <c r="A50" s="6" t="inlineStr">
        <is>
          <t>DSO (Receivable days) = AR / Rev * 365</t>
        </is>
      </c>
      <c r="B50" s="14" t="inlineStr">
        <is>
          <t>N/A — not disclosed in filings provided</t>
        </is>
      </c>
      <c r="C50" s="28">
        <f>C37/C6*365</f>
        <v/>
      </c>
      <c r="D50" s="28">
        <f>D37/D6*365</f>
        <v/>
      </c>
      <c r="E50" s="28">
        <f>E37/E6*365</f>
        <v/>
      </c>
      <c r="F50" s="28">
        <f>F37/F6*365</f>
        <v/>
      </c>
    </row>
    <row r="51">
      <c r="A51" s="6" t="inlineStr">
        <is>
          <t>DPO (Payable days) = AP / COGS * 365</t>
        </is>
      </c>
      <c r="B51" s="14" t="inlineStr">
        <is>
          <t>N/A — not disclosed in filings provided</t>
        </is>
      </c>
      <c r="C51" s="28">
        <f>C43/-C8*365</f>
        <v/>
      </c>
      <c r="D51" s="28">
        <f>D43/-D8*365</f>
        <v/>
      </c>
      <c r="E51" s="28">
        <f>E43/-E8*365</f>
        <v/>
      </c>
      <c r="F51" s="28">
        <f>F43/-F8*365</f>
        <v/>
      </c>
    </row>
    <row r="52">
      <c r="A52" s="16" t="inlineStr">
        <is>
          <t>Cash conversion cycle = DIO + DSO − DPO</t>
        </is>
      </c>
      <c r="B52" s="14" t="inlineStr">
        <is>
          <t>N/A — not disclosed in filings provided</t>
        </is>
      </c>
      <c r="C52" s="29">
        <f>C49+C50-C51</f>
        <v/>
      </c>
      <c r="D52" s="29">
        <f>D49+D50-D51</f>
        <v/>
      </c>
      <c r="E52" s="29">
        <f>E49+E50-E51</f>
        <v/>
      </c>
      <c r="F52" s="29">
        <f>F49+F50-F51</f>
        <v/>
      </c>
    </row>
    <row r="53">
      <c r="A53" s="6" t="inlineStr">
        <is>
          <t>Capex / Revenue (cash-paid basis)</t>
        </is>
      </c>
      <c r="B53" s="11">
        <f>B23/B6</f>
        <v/>
      </c>
      <c r="C53" s="11">
        <f>C23/C6</f>
        <v/>
      </c>
      <c r="D53" s="11">
        <f>D23/D6</f>
        <v/>
      </c>
      <c r="E53" s="11">
        <f>E23/E6</f>
        <v/>
      </c>
      <c r="F53" s="11">
        <f>F23/F6</f>
        <v/>
      </c>
    </row>
    <row r="55">
      <c r="A55" s="17" t="inlineStr">
        <is>
          <t>Sources: 10K24 = Fabrinet 10-K FY2024 (filed 2024-08-20). 10K26 = Fabrinet 10-K FY2026 (filed 2026-08-18). All $ in millions. Percent-of-revenue lines for FY22-24 also independently stated by the 10-K itself as 12.3%/12.7%/12.4% gross margin — ties to the derived figures above.</t>
        </is>
      </c>
    </row>
  </sheetData>
  <mergeCells count="8">
    <mergeCell ref="A1:G1"/>
    <mergeCell ref="A55:G55"/>
    <mergeCell ref="A20:G20"/>
    <mergeCell ref="A2:G2"/>
    <mergeCell ref="A33:G33"/>
    <mergeCell ref="A25:J25"/>
    <mergeCell ref="A5:G5"/>
    <mergeCell ref="A46:G46"/>
  </mergeCells>
  <pageMargins left="0.75" right="0.75" top="1" bottom="1" header="0.5" footer="0.5"/>
</worksheet>
</file>

<file path=xl/worksheets/sheet4.xml><?xml version="1.0" encoding="utf-8"?>
<worksheet xmlns="http://schemas.openxmlformats.org/spreadsheetml/2006/main">
  <sheetPr>
    <tabColor rgb="002E5395"/>
    <outlinePr summaryBelow="1" summaryRight="1"/>
    <pageSetUpPr/>
  </sheetPr>
  <dimension ref="A1:I3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 width="13" customWidth="1" min="8" max="8"/>
    <col width="34" customWidth="1" min="9" max="9"/>
  </cols>
  <sheetData>
    <row r="1" ht="28" customHeight="1">
      <c r="A1" s="1" t="inlineStr">
        <is>
          <t>3. REVENUE MIX</t>
        </is>
      </c>
      <c r="B1" s="2" t="n"/>
      <c r="C1" s="2" t="n"/>
      <c r="D1" s="2" t="n"/>
      <c r="E1" s="2" t="n"/>
      <c r="F1" s="2" t="n"/>
      <c r="G1" s="2" t="n"/>
      <c r="H1" s="2" t="n"/>
      <c r="I1" s="2" t="n"/>
    </row>
    <row r="2" ht="16" customHeight="1">
      <c r="A2" s="3" t="inlineStr">
        <is>
          <t>Fabrinet changed its segment-reporting categories TWICE. Three non-reconcilable regimes shown separately — REPORTED, not recast/estimated by us.</t>
        </is>
      </c>
      <c r="B2" s="2" t="n"/>
      <c r="C2" s="2" t="n"/>
      <c r="D2" s="2" t="n"/>
      <c r="E2" s="2" t="n"/>
      <c r="F2" s="2" t="n"/>
      <c r="G2" s="2" t="n"/>
      <c r="H2" s="2" t="n"/>
      <c r="I2" s="2" t="n"/>
    </row>
    <row r="4">
      <c r="A4" s="30" t="inlineStr">
        <is>
          <t>⚠ Regimes A, B and C use different, company-defined category boundaries. No crosswalk between them is published by Fabrinet, and none is applied here — do not sum across regimes.</t>
        </is>
      </c>
    </row>
    <row r="6" ht="18" customHeight="1">
      <c r="A6" s="4" t="inlineStr">
        <is>
          <t>REGIME A — REPORTED, FY2022-FY2024 annual (10K24 p.43): Optical comm. (Datacom+Telecom) / Non-optical (Automotive+Ind.laser+Others)</t>
        </is>
      </c>
    </row>
    <row r="7" ht="28" customHeight="1">
      <c r="A7" s="5" t="inlineStr"/>
      <c r="B7" s="5" t="inlineStr">
        <is>
          <t>FY2022</t>
        </is>
      </c>
      <c r="C7" s="5" t="inlineStr">
        <is>
          <t>FY2023</t>
        </is>
      </c>
      <c r="D7" s="5" t="inlineStr">
        <is>
          <t>FY2024</t>
        </is>
      </c>
      <c r="E7" s="5" t="inlineStr"/>
      <c r="F7" s="5" t="inlineStr">
        <is>
          <t>YoY FY23</t>
        </is>
      </c>
      <c r="G7" s="5" t="inlineStr">
        <is>
          <t>YoY FY24</t>
        </is>
      </c>
      <c r="H7" s="5" t="inlineStr">
        <is>
          <t>% of total FY24</t>
        </is>
      </c>
      <c r="I7" s="5" t="inlineStr">
        <is>
          <t>Contribution to FY24 growth</t>
        </is>
      </c>
    </row>
    <row r="8">
      <c r="A8" s="6" t="inlineStr">
        <is>
          <t>Datacom</t>
        </is>
      </c>
      <c r="B8" s="9" t="n">
        <v>361.306</v>
      </c>
      <c r="C8" s="9" t="n">
        <v>520.796</v>
      </c>
      <c r="D8" s="9" t="n">
        <v>1150.307</v>
      </c>
      <c r="F8" s="11">
        <f>C8/B8-1</f>
        <v/>
      </c>
      <c r="G8" s="11">
        <f>D8/C8-1</f>
        <v/>
      </c>
      <c r="H8" s="11">
        <f>D8/D13</f>
        <v/>
      </c>
      <c r="I8" s="11">
        <f>(D8-C8)/(D13-C13)</f>
        <v/>
      </c>
    </row>
    <row r="9">
      <c r="A9" s="6" t="inlineStr">
        <is>
          <t>Telecom</t>
        </is>
      </c>
      <c r="B9" s="9" t="n">
        <v>1421.493</v>
      </c>
      <c r="C9" s="9" t="n">
        <v>1487.551</v>
      </c>
      <c r="D9" s="9" t="n">
        <v>1138.708</v>
      </c>
      <c r="F9" s="11">
        <f>C9/B9-1</f>
        <v/>
      </c>
      <c r="G9" s="11">
        <f>D9/C9-1</f>
        <v/>
      </c>
      <c r="H9" s="11">
        <f>D9/D13</f>
        <v/>
      </c>
      <c r="I9" s="11">
        <f>(D9-C9)/(D13-C13)</f>
        <v/>
      </c>
    </row>
    <row r="10">
      <c r="A10" s="6" t="inlineStr">
        <is>
          <t>Automotive</t>
        </is>
      </c>
      <c r="B10" s="9" t="n">
        <v>204.407</v>
      </c>
      <c r="C10" s="9" t="n">
        <v>368.581</v>
      </c>
      <c r="D10" s="9" t="n">
        <v>327.188</v>
      </c>
      <c r="F10" s="11">
        <f>C10/B10-1</f>
        <v/>
      </c>
      <c r="G10" s="11">
        <f>D10/C10-1</f>
        <v/>
      </c>
      <c r="H10" s="11">
        <f>D10/D13</f>
        <v/>
      </c>
      <c r="I10" s="11">
        <f>(D10-C10)/(D13-C13)</f>
        <v/>
      </c>
    </row>
    <row r="11">
      <c r="A11" s="6" t="inlineStr">
        <is>
          <t>Industrial laser</t>
        </is>
      </c>
      <c r="B11" s="9" t="n">
        <v>149.357</v>
      </c>
      <c r="C11" s="9" t="n">
        <v>125.415</v>
      </c>
      <c r="D11" s="9" t="n">
        <v>122.722</v>
      </c>
      <c r="F11" s="11">
        <f>C11/B11-1</f>
        <v/>
      </c>
      <c r="G11" s="11">
        <f>D11/C11-1</f>
        <v/>
      </c>
      <c r="H11" s="11">
        <f>D11/D13</f>
        <v/>
      </c>
      <c r="I11" s="11">
        <f>(D11-C11)/(D13-C13)</f>
        <v/>
      </c>
    </row>
    <row r="12">
      <c r="A12" s="6" t="inlineStr">
        <is>
          <t>Others</t>
        </is>
      </c>
      <c r="B12" s="9" t="n">
        <v>125.661</v>
      </c>
      <c r="C12" s="9" t="n">
        <v>142.894</v>
      </c>
      <c r="D12" s="9" t="n">
        <v>144.042</v>
      </c>
      <c r="F12" s="11">
        <f>C12/B12-1</f>
        <v/>
      </c>
      <c r="G12" s="11">
        <f>D12/C12-1</f>
        <v/>
      </c>
      <c r="H12" s="11">
        <f>D12/D13</f>
        <v/>
      </c>
      <c r="I12" s="11">
        <f>(D12-C12)/(D13-C13)</f>
        <v/>
      </c>
    </row>
    <row r="13">
      <c r="A13" s="16" t="inlineStr">
        <is>
          <t>Total revenue (check)</t>
        </is>
      </c>
      <c r="B13" s="26">
        <f>SUM(B8:B12)</f>
        <v/>
      </c>
      <c r="C13" s="26">
        <f>SUM(C8:C12)</f>
        <v/>
      </c>
      <c r="D13" s="26">
        <f>SUM(D8:D12)</f>
        <v/>
      </c>
      <c r="I13" s="24" t="inlineStr">
        <is>
          <t>Should tie to Tab 2 revenue: 2262.224 / 2645.237 / 2882.967</t>
        </is>
      </c>
    </row>
    <row r="15" ht="18" customHeight="1">
      <c r="A15" s="4" t="inlineStr">
        <is>
          <t>REGIME B — REPORTED, quarterly/9-month only (10-Q Q3 FY2026 p.14): Optical (Telecom+Datacom+DCI) / Non-optical (Automotive+HPC+Ind.laser+Others). No full FY2025 annual exists under this regime — not fabricated here.</t>
        </is>
      </c>
    </row>
    <row r="16" ht="28" customHeight="1">
      <c r="A16" s="5" t="inlineStr"/>
      <c r="B16" s="5" t="inlineStr">
        <is>
          <t>Q3 FY25 (3mo)</t>
        </is>
      </c>
      <c r="C16" s="5" t="inlineStr">
        <is>
          <t>Q3 FY26 (3mo)</t>
        </is>
      </c>
      <c r="D16" s="5" t="inlineStr">
        <is>
          <t>9M FY25</t>
        </is>
      </c>
      <c r="E16" s="5" t="inlineStr">
        <is>
          <t>9M FY26</t>
        </is>
      </c>
      <c r="F16" s="5" t="inlineStr">
        <is>
          <t>YoY Q3 growth</t>
        </is>
      </c>
      <c r="G16" s="5" t="inlineStr">
        <is>
          <t>YoY 9M growth</t>
        </is>
      </c>
      <c r="H16" s="5" t="inlineStr">
        <is>
          <t>% of Q3FY26 total</t>
        </is>
      </c>
      <c r="I16" s="5" t="inlineStr">
        <is>
          <t>Contribution to Q3 YoY $ growth</t>
        </is>
      </c>
    </row>
    <row r="17">
      <c r="A17" s="6" t="inlineStr">
        <is>
          <t>Telecom</t>
        </is>
      </c>
      <c r="B17" s="9" t="n">
        <v>302.736</v>
      </c>
      <c r="C17" s="9" t="n">
        <v>431.366</v>
      </c>
      <c r="D17" s="9" t="n">
        <v>776.373</v>
      </c>
      <c r="E17" s="9" t="n">
        <v>1179.334</v>
      </c>
      <c r="F17" s="11">
        <f>C17/B17-1</f>
        <v/>
      </c>
      <c r="G17" s="11">
        <f>E17/D17-1</f>
        <v/>
      </c>
      <c r="H17" s="31">
        <f>C17/C24</f>
        <v/>
      </c>
      <c r="I17" s="31">
        <f>(C17-B17)/(C17-B17+C18-B18+C19-B19+C20-B20+C22-B22+C23-B23)</f>
        <v/>
      </c>
    </row>
    <row r="18">
      <c r="A18" s="6" t="inlineStr">
        <is>
          <t>Datacom</t>
        </is>
      </c>
      <c r="B18" s="9" t="n">
        <v>251.105</v>
      </c>
      <c r="C18" s="9" t="n">
        <v>260.442</v>
      </c>
      <c r="D18" s="9" t="n">
        <v>879.087</v>
      </c>
      <c r="E18" s="9" t="n">
        <v>811.6799999999999</v>
      </c>
      <c r="F18" s="11">
        <f>C18/B18-1</f>
        <v/>
      </c>
      <c r="G18" s="11">
        <f>E18/D18-1</f>
        <v/>
      </c>
      <c r="H18" s="31">
        <f>C18/C24</f>
        <v/>
      </c>
      <c r="I18" s="31">
        <f>(C18-B18)/(C17-B17+C18-B18+C19-B19+C20-B20+C22-B22+C23-B23)</f>
        <v/>
      </c>
    </row>
    <row r="19">
      <c r="A19" s="6" t="inlineStr">
        <is>
          <t>DCI</t>
        </is>
      </c>
      <c r="B19" s="9" t="n">
        <v>103.39</v>
      </c>
      <c r="C19" s="9" t="n">
        <v>196.896</v>
      </c>
      <c r="D19" s="9" t="n">
        <v>275.236</v>
      </c>
      <c r="E19" s="9" t="n">
        <v>477.176</v>
      </c>
      <c r="F19" s="11">
        <f>C19/B19-1</f>
        <v/>
      </c>
      <c r="G19" s="11">
        <f>E19/D19-1</f>
        <v/>
      </c>
      <c r="H19" s="31">
        <f>C19/C24</f>
        <v/>
      </c>
      <c r="I19" s="31">
        <f>(C19-B19)/(C17-B17+C18-B18+C19-B19+C20-B20+C22-B22+C23-B23)</f>
        <v/>
      </c>
    </row>
    <row r="20">
      <c r="A20" s="6" t="inlineStr">
        <is>
          <t>Automotive</t>
        </is>
      </c>
      <c r="B20" s="9" t="n">
        <v>129.468</v>
      </c>
      <c r="C20" s="9" t="n">
        <v>115.499</v>
      </c>
      <c r="D20" s="9" t="n">
        <v>336.456</v>
      </c>
      <c r="E20" s="9" t="n">
        <v>354.403</v>
      </c>
      <c r="F20" s="11">
        <f>C20/B20-1</f>
        <v/>
      </c>
      <c r="G20" s="11">
        <f>E20/D20-1</f>
        <v/>
      </c>
      <c r="H20" s="31">
        <f>C20/C24</f>
        <v/>
      </c>
      <c r="I20" s="31">
        <f>(C20-B20)/(C17-B17+C18-B18+C19-B19+C20-B20+C22-B22+C23-B23)</f>
        <v/>
      </c>
    </row>
    <row r="21">
      <c r="A21" s="6" t="inlineStr">
        <is>
          <t>HPC</t>
        </is>
      </c>
      <c r="B21" s="14" t="inlineStr">
        <is>
          <t>N/A (not disclosed that period)</t>
        </is>
      </c>
      <c r="C21" s="9" t="n">
        <v>106.746</v>
      </c>
      <c r="D21" s="14" t="inlineStr">
        <is>
          <t>N/A (not disclosed that period)</t>
        </is>
      </c>
      <c r="E21" s="9" t="n">
        <v>207.705</v>
      </c>
      <c r="F21" s="14" t="inlineStr">
        <is>
          <t>n/a</t>
        </is>
      </c>
      <c r="G21" s="14" t="inlineStr">
        <is>
          <t>n/a</t>
        </is>
      </c>
      <c r="H21" s="31">
        <f>C21/C24</f>
        <v/>
      </c>
      <c r="I21" s="14" t="inlineStr">
        <is>
          <t>N/A — HPC not separately disclosed in Q3 FY25 (folded into 'Others' that quarter)</t>
        </is>
      </c>
    </row>
    <row r="22">
      <c r="A22" s="6" t="inlineStr">
        <is>
          <t>Industrial laser</t>
        </is>
      </c>
      <c r="B22" s="9" t="n">
        <v>40.464</v>
      </c>
      <c r="C22" s="9" t="n">
        <v>44.171</v>
      </c>
      <c r="D22" s="9" t="n">
        <v>113.332</v>
      </c>
      <c r="E22" s="9" t="n">
        <v>125.282</v>
      </c>
      <c r="F22" s="11">
        <f>C22/B22-1</f>
        <v/>
      </c>
      <c r="G22" s="11">
        <f>E22/D22-1</f>
        <v/>
      </c>
      <c r="H22" s="31">
        <f>C22/C24</f>
        <v/>
      </c>
      <c r="I22" s="31">
        <f>(C22-B22)/(C17-B17+C18-B18+C19-B19+C20-B20+C22-B22+C23-B23)</f>
        <v/>
      </c>
    </row>
    <row r="23">
      <c r="A23" s="6" t="inlineStr">
        <is>
          <t>Others</t>
        </is>
      </c>
      <c r="B23" s="9" t="n">
        <v>44.636</v>
      </c>
      <c r="C23" s="9" t="n">
        <v>59.173</v>
      </c>
      <c r="D23" s="9" t="n">
        <v>129.151</v>
      </c>
      <c r="E23" s="9" t="n">
        <v>169.729</v>
      </c>
      <c r="F23" s="11">
        <f>C23/B23-1</f>
        <v/>
      </c>
      <c r="G23" s="11">
        <f>E23/D23-1</f>
        <v/>
      </c>
      <c r="H23" s="31">
        <f>C23/C24</f>
        <v/>
      </c>
      <c r="I23" s="31">
        <f>(C23-B23)/(C17-B17+C18-B18+C19-B19+C20-B20+C22-B22+C23-B23)</f>
        <v/>
      </c>
    </row>
    <row r="24">
      <c r="A24" s="16" t="inlineStr">
        <is>
          <t>Total revenue (check)</t>
        </is>
      </c>
      <c r="C24" s="8">
        <f>SUM(C17:C23)</f>
        <v/>
      </c>
      <c r="E24" s="8">
        <f>SUM(E17:E23)</f>
        <v/>
      </c>
      <c r="I24" s="24" t="inlineStr">
        <is>
          <t>Q3FY26 total should tie to Tab-2-style quarterly revenue 1214.293; 9M FY26 to 3325.309</t>
        </is>
      </c>
    </row>
    <row r="26" ht="18" customHeight="1">
      <c r="A26" s="4" t="inlineStr">
        <is>
          <t>REGIME C — REPORTED, RECAST presentation, FY2024-FY2026 annual (10K26 p.44): Data center / Communications infrastructure / Automotive, Industrial &amp; Other. Fabrinet itself recast FY24-25 under this scheme beginning Q4 FY2026 — not our estimate.</t>
        </is>
      </c>
    </row>
    <row r="27" ht="28" customHeight="1">
      <c r="A27" s="5" t="inlineStr"/>
      <c r="B27" s="5" t="inlineStr">
        <is>
          <t>FY2024</t>
        </is>
      </c>
      <c r="C27" s="5" t="inlineStr">
        <is>
          <t>FY2025</t>
        </is>
      </c>
      <c r="D27" s="5" t="inlineStr">
        <is>
          <t>FY2026</t>
        </is>
      </c>
      <c r="E27" s="5" t="inlineStr"/>
      <c r="F27" s="5" t="inlineStr">
        <is>
          <t>YoY FY25</t>
        </is>
      </c>
      <c r="G27" s="5" t="inlineStr">
        <is>
          <t>YoY FY26</t>
        </is>
      </c>
      <c r="H27" s="5" t="inlineStr">
        <is>
          <t>% of total FY26</t>
        </is>
      </c>
      <c r="I27" s="5" t="inlineStr">
        <is>
          <t>Contribution to FY26 growth</t>
        </is>
      </c>
    </row>
    <row r="28">
      <c r="A28" s="6" t="inlineStr">
        <is>
          <t>Data center</t>
        </is>
      </c>
      <c r="B28" s="9" t="n">
        <v>1529.693</v>
      </c>
      <c r="C28" s="9" t="n">
        <v>1579.915</v>
      </c>
      <c r="D28" s="9" t="n">
        <v>2225.081</v>
      </c>
      <c r="F28" s="11">
        <f>C28/B28-1</f>
        <v/>
      </c>
      <c r="G28" s="11">
        <f>D28/C28-1</f>
        <v/>
      </c>
      <c r="H28">
        <f>D28/D31</f>
        <v/>
      </c>
      <c r="I28">
        <f>(D28-C28)/(D31-C31)</f>
        <v/>
      </c>
    </row>
    <row r="29">
      <c r="A29" s="6" t="inlineStr">
        <is>
          <t>Communications infrastructure</t>
        </is>
      </c>
      <c r="B29" s="9" t="n">
        <v>767.3680000000001</v>
      </c>
      <c r="C29" s="9" t="n">
        <v>1049.397</v>
      </c>
      <c r="D29" s="9" t="n">
        <v>1546.403</v>
      </c>
      <c r="F29" s="11">
        <f>C29/B29-1</f>
        <v/>
      </c>
      <c r="G29" s="11">
        <f>D29/C29-1</f>
        <v/>
      </c>
      <c r="H29">
        <f>D29/D31</f>
        <v/>
      </c>
      <c r="I29">
        <f>(D29-C29)/(D31-C31)</f>
        <v/>
      </c>
    </row>
    <row r="30">
      <c r="A30" s="6" t="inlineStr">
        <is>
          <t>Automotive, Industrial &amp; Other</t>
        </is>
      </c>
      <c r="B30" s="9" t="n">
        <v>585.9059999999999</v>
      </c>
      <c r="C30" s="9" t="n">
        <v>790.015</v>
      </c>
      <c r="D30" s="9" t="n">
        <v>869.6130000000001</v>
      </c>
      <c r="F30" s="11">
        <f>C30/B30-1</f>
        <v/>
      </c>
      <c r="G30" s="11">
        <f>D30/C30-1</f>
        <v/>
      </c>
      <c r="H30">
        <f>D30/D31</f>
        <v/>
      </c>
      <c r="I30">
        <f>(D30-C30)/(D31-C31)</f>
        <v/>
      </c>
    </row>
    <row r="31">
      <c r="A31" s="16" t="inlineStr">
        <is>
          <t>Total revenue (check)</t>
        </is>
      </c>
      <c r="B31" s="26">
        <f>SUM(B28:B30)</f>
        <v/>
      </c>
      <c r="C31" s="26">
        <f>SUM(C28:C30)</f>
        <v/>
      </c>
      <c r="D31" s="26">
        <f>SUM(D28:D30)</f>
        <v/>
      </c>
      <c r="I31" s="24" t="inlineStr">
        <is>
          <t>Should tie to Tab 2 revenue: 2882.967 / 3419.327 / 4641.097</t>
        </is>
      </c>
    </row>
    <row r="33">
      <c r="A33" s="17" t="inlineStr">
        <is>
          <t>KEY OBSERVATION (from Regime A, the only regime spanning the pre-AI-buildout period): in FY2024, ‘Datacom’ grew +120.9% YoY while ‘Telecom’ FELL -23.4% YoY — management's own MD&amp;A attributes the Datacom surge to “artificial intelligence applications” (10K24 p.43-44, HIGH confidence, directly disclosed). Under Regime C (FY24-26 recast), ‘Data center’ mix was 53.1% of revenue in FY24, fell to 46.2% in FY25, and recovered to only 47.9% in FY26 — LOWER than two years ago. Under Regime B (old-old categories), the true ‘DCI’ line is only 16.2% of Q3 FY26 revenue, and ‘Telecom’ ($431.4mm) was a larger contributor to the Q3 FY26 YoY revenue increase than ‘DCI’ ($196.9mm) or ‘HPC’ ($106.7mm) individually.</t>
        </is>
      </c>
    </row>
    <row r="35">
      <c r="A35" s="17" t="inlineStr">
        <is>
          <t>Sources: 10K24 = Fabrinet 10-K FY2024, p.43 (Results of Operations, revenue by end market table). 10K26 = Fabrinet 10-K FY2026, p.44. 10Q = Fabrinet 10-Q for Q3 FY2026, p.14 (Note 3, Revenues from contracts with customers).</t>
        </is>
      </c>
    </row>
  </sheetData>
  <mergeCells count="8">
    <mergeCell ref="A15:I15"/>
    <mergeCell ref="A2:I2"/>
    <mergeCell ref="A33:I33"/>
    <mergeCell ref="A1:I1"/>
    <mergeCell ref="A6:I6"/>
    <mergeCell ref="A35:I35"/>
    <mergeCell ref="A4:I4"/>
    <mergeCell ref="A26:I26"/>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2E5395"/>
    <outlinePr summaryBelow="1" summaryRight="1"/>
    <pageSetUpPr/>
  </sheetPr>
  <dimension ref="A1:F15"/>
  <sheetViews>
    <sheetView showGridLines="0" workbookViewId="0">
      <pane ySplit="4" topLeftCell="A5" activePane="bottomLeft" state="frozen"/>
      <selection pane="bottomLeft" activeCell="A1" sqref="A1"/>
    </sheetView>
  </sheetViews>
  <sheetFormatPr baseColWidth="8" defaultRowHeight="15"/>
  <cols>
    <col width="30" customWidth="1" min="1" max="1"/>
    <col width="13" customWidth="1" min="2" max="2"/>
    <col width="13" customWidth="1" min="3" max="3"/>
    <col width="15" customWidth="1" min="4" max="4"/>
    <col width="42" customWidth="1" min="5" max="5"/>
    <col width="14" customWidth="1" min="6" max="6"/>
  </cols>
  <sheetData>
    <row r="1" ht="28" customHeight="1">
      <c r="A1" s="1" t="inlineStr">
        <is>
          <t>4. AI EXPOSURE</t>
        </is>
      </c>
      <c r="B1" s="2" t="n"/>
      <c r="C1" s="2" t="n"/>
      <c r="D1" s="2" t="n"/>
      <c r="E1" s="2" t="n"/>
      <c r="F1" s="2" t="n"/>
    </row>
    <row r="2" ht="16" customHeight="1">
      <c r="A2" s="3" t="inlineStr">
        <is>
          <t>How much of Fabrinet's growth is genuinely, verifiably AI-related? HIGH = directly disclosed. MEDIUM = strongly inferred. LOW = estimated/speculative — never portrayed as disclosed.</t>
        </is>
      </c>
      <c r="B2" s="2" t="n"/>
      <c r="C2" s="2" t="n"/>
      <c r="D2" s="2" t="n"/>
      <c r="E2" s="2" t="n"/>
      <c r="F2" s="2" t="n"/>
    </row>
    <row r="4" ht="28" customHeight="1">
      <c r="A4" s="5" t="inlineStr">
        <is>
          <t>Revenue category</t>
        </is>
      </c>
      <c r="B4" s="5" t="inlineStr">
        <is>
          <t>Latest disclosed $mm</t>
        </is>
      </c>
      <c r="C4" s="5" t="inlineStr">
        <is>
          <t>YoY growth</t>
        </is>
      </c>
      <c r="D4" s="5" t="inlineStr">
        <is>
          <t>AI exposure read</t>
        </is>
      </c>
      <c r="E4" s="5" t="inlineStr">
        <is>
          <t>Evidence</t>
        </is>
      </c>
      <c r="F4" s="5" t="inlineStr">
        <is>
          <t>Confidence</t>
        </is>
      </c>
    </row>
    <row r="5" ht="62" customHeight="1">
      <c r="A5" s="32" t="inlineStr">
        <is>
          <t>Datacom (Regime A, FY2024)</t>
        </is>
      </c>
      <c r="B5" s="33" t="inlineStr">
        <is>
          <t>1,150.3 (FY24)</t>
        </is>
      </c>
      <c r="C5" s="34" t="inlineStr">
        <is>
          <t>+120.9% YoY (FY24 vs FY23)</t>
        </is>
      </c>
      <c r="D5" s="34" t="inlineStr">
        <is>
          <t>Direct AI attribution</t>
        </is>
      </c>
      <c r="E5" s="35" t="inlineStr">
        <is>
          <t>10K24 MD&amp;A p.43-44: “increase in revenues from data communication products, primarily for artificial intelligence applications, offset by a decline in revenues from telecommunication products”</t>
        </is>
      </c>
      <c r="F5" s="36" t="inlineStr">
        <is>
          <t>HIGH</t>
        </is>
      </c>
    </row>
    <row r="6" ht="62" customHeight="1">
      <c r="A6" s="32" t="inlineStr">
        <is>
          <t>Datacenter interconnect / DCI (Regime B, Q3 FY26)</t>
        </is>
      </c>
      <c r="B6" s="33" t="inlineStr">
        <is>
          <t>196.9 (Q3 FY26, 3mo)</t>
        </is>
      </c>
      <c r="C6" s="34" t="inlineStr">
        <is>
          <t>+90.4% YoY (Q3 FY26 vs Q3 FY25)</t>
        </is>
      </c>
      <c r="D6" s="34" t="inlineStr">
        <is>
          <t>DCI modules connect geographically separated data centers — AI/hyperscaler-adjacent by definition, but not 100% attributable to AI workloads specifically (some traditional cloud/enterprise DCI exists too)</t>
        </is>
      </c>
      <c r="E6" s="35" t="inlineStr">
        <is>
          <t>10-Q Note 3, p.14: DCI defined as “opto-electronic modules used to connect two or more geographically separated data centers”</t>
        </is>
      </c>
      <c r="F6" s="37" t="inlineStr">
        <is>
          <t>MEDIUM</t>
        </is>
      </c>
    </row>
    <row r="7" ht="62" customHeight="1">
      <c r="A7" s="32" t="inlineStr">
        <is>
          <t>High-performance computing / HPC (Regime B, Q3 FY26)</t>
        </is>
      </c>
      <c r="B7" s="33" t="inlineStr">
        <is>
          <t>106.7 (Q3 FY26, 3mo)</t>
        </is>
      </c>
      <c r="C7" s="34" t="inlineStr">
        <is>
          <t>n/a (not separately disclosed in Q3 FY25 base period)</t>
        </is>
      </c>
      <c r="D7" s="34" t="inlineStr">
        <is>
          <t>HPC defined by the company itself as AI-adjacent compute infrastructure</t>
        </is>
      </c>
      <c r="E7" s="35" t="inlineStr">
        <is>
          <t>10-Q Note 3, p.14: “massively parallel computing systems built from interconnected high-performance processors, accelerators, high-speed memory, and low-latency networking”</t>
        </is>
      </c>
      <c r="F7" s="36" t="inlineStr">
        <is>
          <t>HIGH (definition) / MEDIUM (full $ attribution, since HPC ≠ 100% AI-specific spend)</t>
        </is>
      </c>
    </row>
    <row r="8" ht="62" customHeight="1">
      <c r="A8" s="32" t="inlineStr">
        <is>
          <t>NVIDIA-related revenue (estimated $, via disclosed %)</t>
        </is>
      </c>
      <c r="B8" s="33" t="inlineStr">
        <is>
          <t>756.9 (FY26E) = 16.3%×$4,641.1mm</t>
        </is>
      </c>
      <c r="C8" s="34" t="inlineStr">
        <is>
          <t>Estimated $ rose FY24→FY26 even as % fell (see Tab 5)</t>
        </is>
      </c>
      <c r="D8" s="34" t="inlineStr">
        <is>
          <t>NVIDIA is FN's most AI-identifiable named customer, but FN does not disclose what NVIDIA specifically buys (could include non-AI optical products too)</t>
        </is>
      </c>
      <c r="E8" s="35" t="inlineStr">
        <is>
          <t>10-K Note 21 discloses only the % of revenue, not a $ figure or product mix by customer</t>
        </is>
      </c>
      <c r="F8" s="37" t="inlineStr">
        <is>
          <t>MEDIUM (customer name = HIGH; but $ amount and product-level AI attribution = estimated)</t>
        </is>
      </c>
    </row>
    <row r="9" ht="62" customHeight="1">
      <c r="A9" s="32" t="inlineStr">
        <is>
          <t>Hyperscaler-adjacent (Amazon, disclosed FY26)</t>
        </is>
      </c>
      <c r="B9" s="33" t="inlineStr">
        <is>
          <t>487.3 (FY26E) = 10.5%×$4,641.1mm</t>
        </is>
      </c>
      <c r="C9" s="34" t="inlineStr">
        <is>
          <t>New in FY26 (was &lt;10% prior years)</t>
        </is>
      </c>
      <c r="D9" s="34" t="inlineStr">
        <is>
          <t>Amazon warrant issued 3/12/2025 explicitly tied to the commercial relationship (10-K Note re: Amazon.com NV Investment Holdings warrant) — strongly suggests a strategic/growth AI-infrastructure relationship, though filings do not confirm AI-specific end use</t>
        </is>
      </c>
      <c r="E9" s="35" t="inlineStr">
        <is>
          <t>10K26 Note re: Warrant issuance to Amazon.com NV Investment Holdings LLC, 381,922 shares</t>
        </is>
      </c>
      <c r="F9" s="37" t="inlineStr">
        <is>
          <t>MEDIUM</t>
        </is>
      </c>
    </row>
    <row r="10" ht="62" customHeight="1">
      <c r="A10" s="32" t="inlineStr">
        <is>
          <t>Telecom (Regime B, Q3 FY26)</t>
        </is>
      </c>
      <c r="B10" s="33" t="inlineStr">
        <is>
          <t>431.4 (Q3 FY26, 3mo)</t>
        </is>
      </c>
      <c r="C10" s="34" t="inlineStr">
        <is>
          <t>+42.5% YoY (Q3 FY26 vs Q3 FY25)</t>
        </is>
      </c>
      <c r="D10" s="34" t="inlineStr">
        <is>
          <t>Legacy/non-AI category by the company's own definition, yet the single LARGEST dollar contributor to the Q3 FY26 YoY revenue increase (larger than DCI or HPC individually)</t>
        </is>
      </c>
      <c r="E10" s="35" t="inlineStr">
        <is>
          <t>10-Q Note 3, p.14</t>
        </is>
      </c>
      <c r="F10" s="36" t="inlineStr">
        <is>
          <t xml:space="preserve">HIGH (that it is non-AI-labeled) </t>
        </is>
      </c>
    </row>
    <row r="11" ht="62" customHeight="1">
      <c r="A11" s="32" t="inlineStr">
        <is>
          <t>Automotive, Industrial laser, Other (Regime A/B)</t>
        </is>
      </c>
      <c r="B11" s="33" t="inlineStr">
        <is>
          <t>~218.8 (Q3 FY26, combined Automotive+Ind.laser+Others, 3mo)</t>
        </is>
      </c>
      <c r="C11" s="34" t="inlineStr">
        <is>
          <t>Mixed / roughly flat-to-down</t>
        </is>
      </c>
      <c r="D11" s="34" t="inlineStr">
        <is>
          <t>Non-AI by definition</t>
        </is>
      </c>
      <c r="E11" s="35" t="inlineStr">
        <is>
          <t>10-Q Note 3 / 10-K segment tables</t>
        </is>
      </c>
      <c r="F11" s="36" t="inlineStr">
        <is>
          <t>HIGH</t>
        </is>
      </c>
    </row>
    <row r="13">
      <c r="A13" s="17" t="inlineStr">
        <is>
          <t>IMPORTANT: Fabrinet does NOT disclose a single 'AI revenue' figure anywhere in its 10-K or 10-Q. Every row above is either (a) a directly-disclosed category with company-attributed AI language (HIGH), (b) a category whose own definition is AI-adjacent but whose full dollar amount includes some non-AI-specific spend (MEDIUM), or (c) a mechanical estimate from disclosed %'s (MEDIUM, labeled). No LOW-confidence figures are presented as disclosed revenue anywhere in this workbook.</t>
        </is>
      </c>
    </row>
    <row r="15">
      <c r="A15" s="17" t="inlineStr">
        <is>
          <t>BOTTOM LINE: the cleanest, highest-confidence AI attribution in the filings (Datacom +120.9% in FY24, explicitly linked to AI by management) predates the FY25-26 period this short thesis focuses on. For FY25-26, the strongest AI-adjacent categories (DCI, HPC) are real and growing fast in % terms, but off a small base — Telecom, a category FN itself does not label as AI-related, was the single largest DOLLAR contributor to Fabrinet's most recent quarterly revenue growth.</t>
        </is>
      </c>
    </row>
  </sheetData>
  <mergeCells count="4">
    <mergeCell ref="A13:F13"/>
    <mergeCell ref="A2:F2"/>
    <mergeCell ref="A1:F1"/>
    <mergeCell ref="A15:F15"/>
  </mergeCells>
  <pageMargins left="0.75" right="0.75" top="1" bottom="1" header="0.5" footer="0.5"/>
</worksheet>
</file>

<file path=xl/worksheets/sheet6.xml><?xml version="1.0" encoding="utf-8"?>
<worksheet xmlns="http://schemas.openxmlformats.org/spreadsheetml/2006/main">
  <sheetPr>
    <tabColor rgb="002E5395"/>
    <outlinePr summaryBelow="1" summaryRight="1"/>
    <pageSetUpPr/>
  </sheetPr>
  <dimension ref="A1:G3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2" customWidth="1" min="2" max="2"/>
    <col width="12" customWidth="1" min="3" max="3"/>
    <col width="12" customWidth="1" min="4" max="4"/>
    <col width="12" customWidth="1" min="5" max="5"/>
    <col width="12" customWidth="1" min="6" max="6"/>
    <col width="34" customWidth="1" min="7" max="7"/>
  </cols>
  <sheetData>
    <row r="1" ht="28" customHeight="1">
      <c r="A1" s="1" t="inlineStr">
        <is>
          <t>5. CUSTOMER CONCENTRATION</t>
        </is>
      </c>
      <c r="B1" s="2" t="n"/>
      <c r="C1" s="2" t="n"/>
      <c r="D1" s="2" t="n"/>
      <c r="E1" s="2" t="n"/>
      <c r="F1" s="2" t="n"/>
      <c r="G1" s="2" t="n"/>
    </row>
    <row r="2" ht="16" customHeight="1">
      <c r="A2" s="3" t="inlineStr">
        <is>
          <t>All customers ever disclosed at ≥10% of revenue, FY2022-FY2026. Blank = that customer was &lt;10% that year (not zero revenue).</t>
        </is>
      </c>
      <c r="B2" s="2" t="n"/>
      <c r="C2" s="2" t="n"/>
      <c r="D2" s="2" t="n"/>
      <c r="E2" s="2" t="n"/>
      <c r="F2" s="2" t="n"/>
      <c r="G2" s="2" t="n"/>
    </row>
    <row r="4" ht="18" customHeight="1">
      <c r="A4" s="4" t="inlineStr">
        <is>
          <t>REVENUE CONCENTRATION, % of total revenue — REPORTED FACT (10-K Note 21 / Item 1A)</t>
        </is>
      </c>
    </row>
    <row r="5" ht="28" customHeight="1">
      <c r="A5" s="5" t="inlineStr">
        <is>
          <t>Customer</t>
        </is>
      </c>
      <c r="B5" s="5" t="inlineStr">
        <is>
          <t>FY2022</t>
        </is>
      </c>
      <c r="C5" s="5" t="inlineStr">
        <is>
          <t>FY2023</t>
        </is>
      </c>
      <c r="D5" s="5" t="inlineStr">
        <is>
          <t>FY2024</t>
        </is>
      </c>
      <c r="E5" s="5" t="inlineStr">
        <is>
          <t>FY2025</t>
        </is>
      </c>
      <c r="F5" s="5" t="inlineStr">
        <is>
          <t>FY2026</t>
        </is>
      </c>
      <c r="G5" s="5" t="inlineStr">
        <is>
          <t>Source</t>
        </is>
      </c>
    </row>
    <row r="6">
      <c r="A6" s="6" t="inlineStr">
        <is>
          <t>Cisco Systems</t>
        </is>
      </c>
      <c r="B6" s="38" t="n">
        <v>0.254</v>
      </c>
      <c r="C6" s="38" t="n">
        <v>0.156</v>
      </c>
      <c r="D6" s="38" t="n">
        <v>0.134</v>
      </c>
      <c r="E6" s="38" t="n">
        <v>0.182</v>
      </c>
      <c r="F6" s="38" t="n">
        <v>0.199</v>
      </c>
      <c r="G6" s="24" t="inlineStr">
        <is>
          <t>10K24 Note21 (FY22-24) / 10K26 Note21 (FY25-26)</t>
        </is>
      </c>
    </row>
    <row r="7">
      <c r="A7" s="6" t="inlineStr">
        <is>
          <t>NVIDIA</t>
        </is>
      </c>
      <c r="B7" s="14" t="inlineStr">
        <is>
          <t>&lt;10%</t>
        </is>
      </c>
      <c r="C7" s="38" t="n">
        <v>0.125</v>
      </c>
      <c r="D7" s="38" t="n">
        <v>0.351</v>
      </c>
      <c r="E7" s="38" t="n">
        <v>0.276</v>
      </c>
      <c r="F7" s="38" t="n">
        <v>0.163</v>
      </c>
      <c r="G7" s="24" t="inlineStr">
        <is>
          <t>10K24 Note21 (FY22-24) / 10K26 Note21 (FY25-26)</t>
        </is>
      </c>
    </row>
    <row r="8">
      <c r="A8" s="6" t="inlineStr">
        <is>
          <t>Lumentum</t>
        </is>
      </c>
      <c r="B8" s="38" t="n">
        <v>0.103</v>
      </c>
      <c r="C8" s="38" t="n">
        <v>0.154</v>
      </c>
      <c r="D8" s="14" t="inlineStr">
        <is>
          <t>&lt;10%</t>
        </is>
      </c>
      <c r="E8" s="14" t="inlineStr">
        <is>
          <t>&lt;10%</t>
        </is>
      </c>
      <c r="F8" s="14" t="inlineStr">
        <is>
          <t>&lt;10%</t>
        </is>
      </c>
      <c r="G8" s="24" t="inlineStr">
        <is>
          <t>10K24 Note21 (FY22-24) / 10K26 Note21 (FY25-26)</t>
        </is>
      </c>
    </row>
    <row r="9">
      <c r="A9" s="6" t="inlineStr">
        <is>
          <t>Infinera</t>
        </is>
      </c>
      <c r="B9" s="38" t="n">
        <v>0.125</v>
      </c>
      <c r="C9" s="38" t="n">
        <v>0.124</v>
      </c>
      <c r="D9" s="14" t="inlineStr">
        <is>
          <t>&lt;10%</t>
        </is>
      </c>
      <c r="E9" s="14" t="inlineStr">
        <is>
          <t>&lt;10%</t>
        </is>
      </c>
      <c r="F9" s="14" t="inlineStr">
        <is>
          <t>&lt;10%</t>
        </is>
      </c>
      <c r="G9" s="24" t="inlineStr">
        <is>
          <t>10K24 Note21 (FY22-24) / 10K26 Note21 (FY25-26)</t>
        </is>
      </c>
    </row>
    <row r="10">
      <c r="A10" s="6" t="inlineStr">
        <is>
          <t>Nokia</t>
        </is>
      </c>
      <c r="B10" s="14" t="inlineStr">
        <is>
          <t>&lt;10%</t>
        </is>
      </c>
      <c r="C10" s="14" t="inlineStr">
        <is>
          <t>&lt;10%</t>
        </is>
      </c>
      <c r="D10" s="14" t="inlineStr">
        <is>
          <t>&lt;10%</t>
        </is>
      </c>
      <c r="E10" s="14" t="inlineStr">
        <is>
          <t>&lt;10%</t>
        </is>
      </c>
      <c r="F10" s="38" t="n">
        <v>0.107</v>
      </c>
      <c r="G10" s="24" t="inlineStr">
        <is>
          <t>10K24 Note21 (FY22-24) / 10K26 Note21 (FY25-26)</t>
        </is>
      </c>
    </row>
    <row r="11">
      <c r="A11" s="6" t="inlineStr">
        <is>
          <t>Amazon.com</t>
        </is>
      </c>
      <c r="B11" s="14" t="inlineStr">
        <is>
          <t>&lt;10%</t>
        </is>
      </c>
      <c r="C11" s="14" t="inlineStr">
        <is>
          <t>&lt;10%</t>
        </is>
      </c>
      <c r="D11" s="14" t="inlineStr">
        <is>
          <t>&lt;10%</t>
        </is>
      </c>
      <c r="E11" s="14" t="inlineStr">
        <is>
          <t>&lt;10%</t>
        </is>
      </c>
      <c r="F11" s="38" t="n">
        <v>0.105</v>
      </c>
      <c r="G11" s="24" t="inlineStr">
        <is>
          <t>10K24 Note21 (FY22-24) / 10K26 Note21 (FY25-26)</t>
        </is>
      </c>
    </row>
    <row r="12">
      <c r="A12" s="16" t="inlineStr">
        <is>
          <t>Sum of customers ≥10% (as stated by 10-K)</t>
        </is>
      </c>
      <c r="B12" s="39" t="n">
        <v>0.482</v>
      </c>
      <c r="C12" s="39" t="n">
        <v>0.5589999999999999</v>
      </c>
      <c r="D12" s="39" t="n">
        <v>0.485</v>
      </c>
      <c r="E12" s="39" t="n">
        <v>0.458</v>
      </c>
      <c r="F12" s="39" t="n">
        <v>0.574</v>
      </c>
      <c r="G12" s="24" t="inlineStr">
        <is>
          <t>FY23-26 directly stated in 10-K text; FY22 = mechanical sum of the 3 named ≥10% customers above (25.4+10.3+12.5)</t>
        </is>
      </c>
    </row>
    <row r="13">
      <c r="A13" s="25" t="inlineStr">
        <is>
          <t xml:space="preserve">  # customers ≥10% that year</t>
        </is>
      </c>
      <c r="B13" s="40" t="n">
        <v>3</v>
      </c>
      <c r="C13" s="40" t="n">
        <v>4</v>
      </c>
      <c r="D13" s="40" t="n">
        <v>2</v>
      </c>
      <c r="E13" s="40" t="n">
        <v>2</v>
      </c>
      <c r="F13" s="40" t="n">
        <v>4</v>
      </c>
    </row>
    <row r="15" ht="18" customHeight="1">
      <c r="A15" s="4" t="inlineStr">
        <is>
          <t>ACCOUNTS RECEIVABLE CONCENTRATION, % of total trade AR at fiscal year-end — REPORTED FACT (10-K Note 21)</t>
        </is>
      </c>
    </row>
    <row r="16" ht="28" customHeight="1">
      <c r="A16" s="5" t="inlineStr">
        <is>
          <t>Customer</t>
        </is>
      </c>
      <c r="B16" s="5" t="inlineStr">
        <is>
          <t>FY2022</t>
        </is>
      </c>
      <c r="C16" s="5" t="inlineStr">
        <is>
          <t>FY2023</t>
        </is>
      </c>
      <c r="D16" s="5" t="inlineStr">
        <is>
          <t>FY2024</t>
        </is>
      </c>
      <c r="E16" s="5" t="inlineStr">
        <is>
          <t>FY2025</t>
        </is>
      </c>
      <c r="F16" s="5" t="inlineStr">
        <is>
          <t>FY2026</t>
        </is>
      </c>
      <c r="G16" s="5" t="inlineStr">
        <is>
          <t>Source</t>
        </is>
      </c>
    </row>
    <row r="17">
      <c r="A17" s="6" t="inlineStr">
        <is>
          <t>Cisco Systems</t>
        </is>
      </c>
      <c r="B17" s="14" t="inlineStr">
        <is>
          <t>n/a (FY22 AR conc. not disclosed)</t>
        </is>
      </c>
      <c r="C17" s="14" t="inlineStr">
        <is>
          <t>&lt;10%</t>
        </is>
      </c>
      <c r="D17" s="38" t="n">
        <v>0.124</v>
      </c>
      <c r="E17" s="38" t="n">
        <v>0.137</v>
      </c>
      <c r="F17" s="38" t="n">
        <v>0.161</v>
      </c>
      <c r="G17" s="24" t="inlineStr">
        <is>
          <t>10K24 Note21 (FY23-24) / 10K26 Note21 (FY25-26)</t>
        </is>
      </c>
    </row>
    <row r="18">
      <c r="A18" s="6" t="inlineStr">
        <is>
          <t>NVIDIA</t>
        </is>
      </c>
      <c r="B18" s="14" t="inlineStr">
        <is>
          <t>n/a (FY22 AR conc. not disclosed)</t>
        </is>
      </c>
      <c r="C18" s="38" t="n">
        <v>0.14</v>
      </c>
      <c r="D18" s="38" t="n">
        <v>0.227</v>
      </c>
      <c r="E18" s="38" t="n">
        <v>0.255</v>
      </c>
      <c r="F18" s="14" t="inlineStr">
        <is>
          <t>&lt;10%</t>
        </is>
      </c>
      <c r="G18" s="24" t="inlineStr">
        <is>
          <t>10K24 Note21 (FY23-24) / 10K26 Note21 (FY25-26)</t>
        </is>
      </c>
    </row>
    <row r="19">
      <c r="A19" s="6" t="inlineStr">
        <is>
          <t>Lumentum</t>
        </is>
      </c>
      <c r="B19" s="14" t="inlineStr">
        <is>
          <t>n/a (FY22 AR conc. not disclosed)</t>
        </is>
      </c>
      <c r="C19" s="38" t="n">
        <v>0.137</v>
      </c>
      <c r="D19" s="14" t="inlineStr">
        <is>
          <t>&lt;10%</t>
        </is>
      </c>
      <c r="E19" s="14" t="inlineStr">
        <is>
          <t>&lt;10%</t>
        </is>
      </c>
      <c r="F19" s="14" t="inlineStr">
        <is>
          <t>&lt;10%</t>
        </is>
      </c>
      <c r="G19" s="24" t="inlineStr">
        <is>
          <t>10K24 Note21 (FY23-24) / 10K26 Note21 (FY25-26)</t>
        </is>
      </c>
    </row>
    <row r="20">
      <c r="A20" s="6" t="inlineStr">
        <is>
          <t>Infinera</t>
        </is>
      </c>
      <c r="B20" s="14" t="inlineStr">
        <is>
          <t>n/a (FY22 AR conc. not disclosed)</t>
        </is>
      </c>
      <c r="C20" s="38" t="n">
        <v>0.205</v>
      </c>
      <c r="D20" s="38" t="n">
        <v>0.193</v>
      </c>
      <c r="E20" s="14" t="inlineStr">
        <is>
          <t>&lt;10%</t>
        </is>
      </c>
      <c r="F20" s="14" t="inlineStr">
        <is>
          <t>&lt;10%</t>
        </is>
      </c>
      <c r="G20" s="24" t="inlineStr">
        <is>
          <t>10K24 Note21 (FY23-24) / 10K26 Note21 (FY25-26)</t>
        </is>
      </c>
    </row>
    <row r="21">
      <c r="A21" s="6" t="inlineStr">
        <is>
          <t>Nokia</t>
        </is>
      </c>
      <c r="B21" s="14" t="inlineStr">
        <is>
          <t>n/a (FY22 AR conc. not disclosed)</t>
        </is>
      </c>
      <c r="C21" s="14" t="inlineStr">
        <is>
          <t>&lt;10%</t>
        </is>
      </c>
      <c r="D21" s="14" t="inlineStr">
        <is>
          <t>&lt;10%</t>
        </is>
      </c>
      <c r="E21" s="38" t="n">
        <v>0.12</v>
      </c>
      <c r="F21" s="38" t="n">
        <v>0.142</v>
      </c>
      <c r="G21" s="24" t="inlineStr">
        <is>
          <t>10K24 Note21 (FY23-24) / 10K26 Note21 (FY25-26)</t>
        </is>
      </c>
    </row>
    <row r="22">
      <c r="A22" s="6" t="inlineStr">
        <is>
          <t>Amazon.com</t>
        </is>
      </c>
      <c r="B22" s="14" t="inlineStr">
        <is>
          <t>n/a (FY22 AR conc. not disclosed)</t>
        </is>
      </c>
      <c r="C22" s="14" t="inlineStr">
        <is>
          <t>&lt;10%</t>
        </is>
      </c>
      <c r="D22" s="14" t="inlineStr">
        <is>
          <t>&lt;10%</t>
        </is>
      </c>
      <c r="E22" s="14" t="inlineStr">
        <is>
          <t>&lt;10%</t>
        </is>
      </c>
      <c r="F22" s="38" t="n">
        <v>0.115</v>
      </c>
      <c r="G22" s="24" t="inlineStr">
        <is>
          <t>10K24 Note21 (FY23-24) / 10K26 Note21 (FY25-26)</t>
        </is>
      </c>
    </row>
    <row r="24" ht="18" customHeight="1">
      <c r="A24" s="4" t="inlineStr">
        <is>
          <t>NVIDIA: DID ITS REVENUE ACTUALLY DECLINE, OR DID OTHERS GROW FASTER?</t>
        </is>
      </c>
    </row>
    <row r="25">
      <c r="A25" s="16" t="inlineStr">
        <is>
          <t>Estimated Nvidia revenue ($mm) = %×Total revenue</t>
        </is>
      </c>
      <c r="B25" s="14" t="inlineStr">
        <is>
          <t>&lt;10%, $ not disclosed</t>
        </is>
      </c>
      <c r="C25" s="26">
        <f>C7*'2. Historical Financials'!C$6</f>
        <v/>
      </c>
      <c r="D25" s="26">
        <f>D7*'2. Historical Financials'!D$6</f>
        <v/>
      </c>
      <c r="E25" s="26">
        <f>E7*'2. Historical Financials'!E$6</f>
        <v/>
      </c>
      <c r="F25" s="26">
        <f>F7*'2. Historical Financials'!F$6</f>
        <v/>
      </c>
      <c r="G25" s="24" t="inlineStr">
        <is>
          <t>Derived: disclosed % × total revenue (Tab 2). Company does not disclose the $ figure directly — this is a calculation, not a reported number.</t>
        </is>
      </c>
    </row>
    <row r="26">
      <c r="A26" s="25" t="inlineStr">
        <is>
          <t xml:space="preserve">  Implied YoY growth in estimated Nvidia $ revenue</t>
        </is>
      </c>
      <c r="B26" s="14" t="inlineStr">
        <is>
          <t>n/a</t>
        </is>
      </c>
      <c r="C26" s="14" t="inlineStr">
        <is>
          <t>n/a</t>
        </is>
      </c>
      <c r="D26" s="11">
        <f>IF(OR(NOT(ISNUMBER(D25)),NOT(ISNUMBER(C25))),"n/a",D25/C25-1)</f>
        <v/>
      </c>
      <c r="E26" s="11">
        <f>IF(OR(NOT(ISNUMBER(E25)),NOT(ISNUMBER(D25))),"n/a",E25/D25-1)</f>
        <v/>
      </c>
      <c r="F26" s="11">
        <f>IF(OR(NOT(ISNUMBER(F25)),NOT(ISNUMBER(E25))),"n/a",F25/E25-1)</f>
        <v/>
      </c>
    </row>
    <row r="28">
      <c r="A28" s="17" t="inlineStr">
        <is>
          <t>ANSWER: estimated Nvidia $ revenue rose every year on this calculation (FY24→FY25→FY26), even as its % of total fell (35.1%→27.6%→16.3%). The percentage decline is a MIX effect — Cisco, Nokia and Amazon grew their own $ revenue with Fabrinet even faster than Nvidia's own $ revenue grew — not evidence that Nvidia itself pulled back. This is a mechanical derivation from disclosed %'s × disclosed total revenue, not a company-disclosed $ figure for Nvidia specifically.</t>
        </is>
      </c>
    </row>
    <row r="30" ht="18" customHeight="1">
      <c r="A30" s="4" t="inlineStr">
        <is>
          <t>TOP-N CONCENTRATION (mechanically derived from the revenue table above)</t>
        </is>
      </c>
    </row>
    <row r="31" ht="28" customHeight="1">
      <c r="A31" s="5" t="inlineStr"/>
      <c r="B31" s="5" t="inlineStr">
        <is>
          <t>FY2022</t>
        </is>
      </c>
      <c r="C31" s="5" t="inlineStr">
        <is>
          <t>FY2023</t>
        </is>
      </c>
      <c r="D31" s="5" t="inlineStr">
        <is>
          <t>FY2024</t>
        </is>
      </c>
      <c r="E31" s="5" t="inlineStr">
        <is>
          <t>FY2025</t>
        </is>
      </c>
      <c r="F31" s="5" t="inlineStr">
        <is>
          <t>FY2026</t>
        </is>
      </c>
      <c r="G31" s="5" t="inlineStr">
        <is>
          <t>Note</t>
        </is>
      </c>
    </row>
    <row r="32">
      <c r="A32" s="16" t="inlineStr">
        <is>
          <t>Top 1 customer %</t>
        </is>
      </c>
      <c r="B32" s="11">
        <f>MAX(B6:B11)</f>
        <v/>
      </c>
      <c r="C32" s="11">
        <f>MAX(C6:C11)</f>
        <v/>
      </c>
      <c r="D32" s="11">
        <f>MAX(D6:D11)</f>
        <v/>
      </c>
      <c r="E32" s="11">
        <f>MAX(E6:E11)</f>
        <v/>
      </c>
      <c r="F32" s="11">
        <f>MAX(F6:F11)</f>
        <v/>
      </c>
    </row>
    <row r="33">
      <c r="A33" s="6" t="inlineStr">
        <is>
          <t>Top 2 customers % (sum of two largest)</t>
        </is>
      </c>
      <c r="B33" s="11">
        <f>SUM(LARGE(B6:B11,1),LARGE(B6:B11,2))</f>
        <v/>
      </c>
      <c r="C33" s="11">
        <f>SUM(LARGE(C6:C11,1),LARGE(C6:C11,2))</f>
        <v/>
      </c>
      <c r="D33" s="11">
        <f>SUM(LARGE(D6:D11,1),LARGE(D6:D11,2))</f>
        <v/>
      </c>
      <c r="E33" s="11">
        <f>SUM(LARGE(E6:E11,1),LARGE(E6:E11,2))</f>
        <v/>
      </c>
      <c r="F33" s="11">
        <f>SUM(LARGE(F6:F11,1),LARGE(F6:F11,2))</f>
        <v/>
      </c>
    </row>
    <row r="34">
      <c r="A34" s="6" t="inlineStr">
        <is>
          <t>Top 4 customers % (= reported sum of all ≥10% names)</t>
        </is>
      </c>
      <c r="B34" s="11">
        <f>B12</f>
        <v/>
      </c>
      <c r="C34" s="11">
        <f>C12</f>
        <v/>
      </c>
      <c r="D34" s="11">
        <f>D12</f>
        <v/>
      </c>
      <c r="E34" s="11">
        <f>E12</f>
        <v/>
      </c>
      <c r="F34" s="11">
        <f>F12</f>
        <v/>
      </c>
    </row>
    <row r="35">
      <c r="A35" s="25" t="inlineStr">
        <is>
          <t xml:space="preserve">  YoY change in Top-≥10% concentration, pp</t>
        </is>
      </c>
      <c r="B35" s="14" t="inlineStr">
        <is>
          <t>n/a</t>
        </is>
      </c>
      <c r="C35" s="14" t="inlineStr">
        <is>
          <t>n/a</t>
        </is>
      </c>
      <c r="D35" s="41">
        <f>(D34-C34)*100</f>
        <v/>
      </c>
      <c r="E35" s="41">
        <f>(E34-D34)*100</f>
        <v/>
      </c>
      <c r="F35" s="41">
        <f>(F34-E34)*100</f>
        <v/>
      </c>
    </row>
    <row r="37">
      <c r="A37" s="17" t="inlineStr">
        <is>
          <t>Sources: 10K24 = Fabrinet 10-K FY2024 Note 21 &amp; Item 1A (p.42, 90). 10K26 = Fabrinet 10-K FY2026 Note 21 &amp; Item 1A (p.6, 90). Chart below plots the reported ‘sum of customers ≥10%’ series.</t>
        </is>
      </c>
    </row>
  </sheetData>
  <mergeCells count="8">
    <mergeCell ref="A1:G1"/>
    <mergeCell ref="A4:G4"/>
    <mergeCell ref="A24:G24"/>
    <mergeCell ref="A2:G2"/>
    <mergeCell ref="A30:G30"/>
    <mergeCell ref="A15:G15"/>
    <mergeCell ref="A28:G28"/>
    <mergeCell ref="A37:G37"/>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C00000"/>
    <outlinePr summaryBelow="1" summaryRight="1"/>
    <pageSetUpPr/>
  </sheetPr>
  <dimension ref="A1:G10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 width="34" customWidth="1" min="7" max="7"/>
  </cols>
  <sheetData>
    <row r="1" ht="28" customHeight="1">
      <c r="A1" s="1" t="inlineStr">
        <is>
          <t>6. WORKING CAPITAL &amp; FCF</t>
        </is>
      </c>
      <c r="B1" s="2" t="n"/>
      <c r="C1" s="2" t="n"/>
      <c r="D1" s="2" t="n"/>
      <c r="E1" s="2" t="n"/>
      <c r="F1" s="2" t="n"/>
      <c r="G1" s="2" t="n"/>
    </row>
    <row r="2" ht="16" customHeight="1">
      <c r="A2" s="3" t="inlineStr">
        <is>
          <t>The core evidence tab: how $473mm of FY2026 net income became ~$3-4mm of conventional free cash flow. All figures link back to Tab 2.</t>
        </is>
      </c>
      <c r="B2" s="2" t="n"/>
      <c r="C2" s="2" t="n"/>
      <c r="D2" s="2" t="n"/>
      <c r="E2" s="2" t="n"/>
      <c r="F2" s="2" t="n"/>
      <c r="G2" s="2" t="n"/>
    </row>
    <row r="3"/>
    <row r="4" ht="18" customHeight="1">
      <c r="A4" s="4" t="inlineStr">
        <is>
          <t>SUMMARY (all link to Tab 2 — no re-entry of hardcoded figures)</t>
        </is>
      </c>
    </row>
    <row r="5" ht="28" customHeight="1">
      <c r="A5" s="5" t="inlineStr"/>
      <c r="B5" s="5" t="inlineStr">
        <is>
          <t>FY2022</t>
        </is>
      </c>
      <c r="C5" s="5" t="inlineStr">
        <is>
          <t>FY2023</t>
        </is>
      </c>
      <c r="D5" s="5" t="inlineStr">
        <is>
          <t>FY2024</t>
        </is>
      </c>
      <c r="E5" s="5" t="inlineStr">
        <is>
          <t>FY2025</t>
        </is>
      </c>
      <c r="F5" s="5" t="inlineStr">
        <is>
          <t>FY2026</t>
        </is>
      </c>
      <c r="G5" s="5" t="inlineStr">
        <is>
          <t>Source</t>
        </is>
      </c>
    </row>
    <row r="6">
      <c r="A6" s="16" t="inlineStr">
        <is>
          <t>Revenue</t>
        </is>
      </c>
      <c r="B6" s="26">
        <f>'2. Historical Financials'!B6</f>
        <v/>
      </c>
      <c r="C6" s="26">
        <f>'2. Historical Financials'!C6</f>
        <v/>
      </c>
      <c r="D6" s="26">
        <f>'2. Historical Financials'!D6</f>
        <v/>
      </c>
      <c r="E6" s="26">
        <f>'2. Historical Financials'!E6</f>
        <v/>
      </c>
      <c r="F6" s="26">
        <f>'2. Historical Financials'!F6</f>
        <v/>
      </c>
    </row>
    <row r="7">
      <c r="A7" s="16" t="inlineStr">
        <is>
          <t>Net income</t>
        </is>
      </c>
      <c r="B7" s="26">
        <f>'2. Historical Financials'!B16</f>
        <v/>
      </c>
      <c r="C7" s="26">
        <f>'2. Historical Financials'!C16</f>
        <v/>
      </c>
      <c r="D7" s="26">
        <f>'2. Historical Financials'!D16</f>
        <v/>
      </c>
      <c r="E7" s="26">
        <f>'2. Historical Financials'!E16</f>
        <v/>
      </c>
      <c r="F7" s="26">
        <f>'2. Historical Financials'!F16</f>
        <v/>
      </c>
    </row>
    <row r="8">
      <c r="A8" s="16" t="inlineStr">
        <is>
          <t>Operating cash flow (CFO)</t>
        </is>
      </c>
      <c r="B8" s="26">
        <f>'2. Historical Financials'!B21</f>
        <v/>
      </c>
      <c r="C8" s="26">
        <f>'2. Historical Financials'!C21</f>
        <v/>
      </c>
      <c r="D8" s="26">
        <f>'2. Historical Financials'!D21</f>
        <v/>
      </c>
      <c r="E8" s="26">
        <f>'2. Historical Financials'!E21</f>
        <v/>
      </c>
      <c r="F8" s="26">
        <f>'2. Historical Financials'!F21</f>
        <v/>
      </c>
    </row>
    <row r="9">
      <c r="A9" s="6" t="inlineStr">
        <is>
          <t>Capex (cash-paid, incl. intangibles)</t>
        </is>
      </c>
      <c r="B9" s="8">
        <f>'2. Historical Financials'!B23+'2. Historical Financials'!B24</f>
        <v/>
      </c>
      <c r="C9" s="8">
        <f>'2. Historical Financials'!C23+'2. Historical Financials'!C24</f>
        <v/>
      </c>
      <c r="D9" s="8">
        <f>'2. Historical Financials'!D23+'2. Historical Financials'!D24</f>
        <v/>
      </c>
      <c r="E9" s="8">
        <f>'2. Historical Financials'!E23+'2. Historical Financials'!E24</f>
        <v/>
      </c>
      <c r="F9" s="8">
        <f>'2. Historical Financials'!F23+'2. Historical Financials'!F24</f>
        <v/>
      </c>
    </row>
    <row r="10">
      <c r="A10" s="16" t="inlineStr">
        <is>
          <t>FCF (cash-paid basis)</t>
        </is>
      </c>
      <c r="B10" s="26">
        <f>'2. Historical Financials'!B26</f>
        <v/>
      </c>
      <c r="C10" s="26">
        <f>'2. Historical Financials'!C26</f>
        <v/>
      </c>
      <c r="D10" s="26">
        <f>'2. Historical Financials'!D26</f>
        <v/>
      </c>
      <c r="E10" s="26">
        <f>'2. Historical Financials'!E26</f>
        <v/>
      </c>
      <c r="F10" s="26">
        <f>'2. Historical Financials'!F26</f>
        <v/>
      </c>
    </row>
    <row r="11">
      <c r="A11" s="6" t="inlineStr">
        <is>
          <t>Inventory (period-end)</t>
        </is>
      </c>
      <c r="B11" s="8">
        <f>'2. Historical Financials'!B38</f>
        <v/>
      </c>
      <c r="C11" s="8">
        <f>'2. Historical Financials'!C38</f>
        <v/>
      </c>
      <c r="D11" s="8">
        <f>'2. Historical Financials'!D38</f>
        <v/>
      </c>
      <c r="E11" s="8">
        <f>'2. Historical Financials'!E38</f>
        <v/>
      </c>
      <c r="F11" s="8">
        <f>'2. Historical Financials'!F38</f>
        <v/>
      </c>
    </row>
    <row r="12">
      <c r="A12" s="6" t="inlineStr">
        <is>
          <t>Accounts receivable (period-end)</t>
        </is>
      </c>
      <c r="B12" s="8">
        <f>'2. Historical Financials'!B37</f>
        <v/>
      </c>
      <c r="C12" s="8">
        <f>'2. Historical Financials'!C37</f>
        <v/>
      </c>
      <c r="D12" s="8">
        <f>'2. Historical Financials'!D37</f>
        <v/>
      </c>
      <c r="E12" s="8">
        <f>'2. Historical Financials'!E37</f>
        <v/>
      </c>
      <c r="F12" s="8">
        <f>'2. Historical Financials'!F37</f>
        <v/>
      </c>
    </row>
    <row r="13">
      <c r="A13" s="6" t="inlineStr">
        <is>
          <t>Accounts payable (period-end)</t>
        </is>
      </c>
      <c r="B13" s="8">
        <f>'2. Historical Financials'!B43</f>
        <v/>
      </c>
      <c r="C13" s="8">
        <f>'2. Historical Financials'!C43</f>
        <v/>
      </c>
      <c r="D13" s="8">
        <f>'2. Historical Financials'!D43</f>
        <v/>
      </c>
      <c r="E13" s="8">
        <f>'2. Historical Financials'!E43</f>
        <v/>
      </c>
      <c r="F13" s="8">
        <f>'2. Historical Financials'!F43</f>
        <v/>
      </c>
    </row>
    <row r="14"/>
    <row r="15" ht="18" customHeight="1">
      <c r="A15" s="4" t="inlineStr">
        <is>
          <t>GROWTH RATES (derived)</t>
        </is>
      </c>
    </row>
    <row r="16">
      <c r="A16" s="6" t="inlineStr">
        <is>
          <t>Revenue growth %</t>
        </is>
      </c>
      <c r="B16" s="14" t="inlineStr">
        <is>
          <t>n/a</t>
        </is>
      </c>
      <c r="C16" s="11">
        <f>IF(OR(NOT(ISNUMBER(C6)),NOT(ISNUMBER(B6))),"n/a",C6/B6-1)</f>
        <v/>
      </c>
      <c r="D16" s="11">
        <f>IF(OR(NOT(ISNUMBER(D6)),NOT(ISNUMBER(C6))),"n/a",D6/C6-1)</f>
        <v/>
      </c>
      <c r="E16" s="11">
        <f>IF(OR(NOT(ISNUMBER(E6)),NOT(ISNUMBER(D6))),"n/a",E6/D6-1)</f>
        <v/>
      </c>
      <c r="F16" s="11">
        <f>IF(OR(NOT(ISNUMBER(F6)),NOT(ISNUMBER(E6))),"n/a",F6/E6-1)</f>
        <v/>
      </c>
    </row>
    <row r="17">
      <c r="A17" s="6" t="inlineStr">
        <is>
          <t>Net income growth %</t>
        </is>
      </c>
      <c r="B17" s="14" t="inlineStr">
        <is>
          <t>n/a</t>
        </is>
      </c>
      <c r="C17" s="11">
        <f>IF(OR(NOT(ISNUMBER(C7)),NOT(ISNUMBER(B7))),"n/a",C7/B7-1)</f>
        <v/>
      </c>
      <c r="D17" s="11">
        <f>IF(OR(NOT(ISNUMBER(D7)),NOT(ISNUMBER(C7))),"n/a",D7/C7-1)</f>
        <v/>
      </c>
      <c r="E17" s="11">
        <f>IF(OR(NOT(ISNUMBER(E7)),NOT(ISNUMBER(D7))),"n/a",E7/D7-1)</f>
        <v/>
      </c>
      <c r="F17" s="11">
        <f>IF(OR(NOT(ISNUMBER(F7)),NOT(ISNUMBER(E7))),"n/a",F7/E7-1)</f>
        <v/>
      </c>
    </row>
    <row r="18">
      <c r="A18" s="6" t="inlineStr">
        <is>
          <t>CFO growth %</t>
        </is>
      </c>
      <c r="B18" s="14" t="inlineStr">
        <is>
          <t>n/a</t>
        </is>
      </c>
      <c r="C18" s="11">
        <f>IF(OR(NOT(ISNUMBER(C8)),NOT(ISNUMBER(B8))),"n/a",C8/B8-1)</f>
        <v/>
      </c>
      <c r="D18" s="11">
        <f>IF(OR(NOT(ISNUMBER(D8)),NOT(ISNUMBER(C8))),"n/a",D8/C8-1)</f>
        <v/>
      </c>
      <c r="E18" s="11">
        <f>IF(OR(NOT(ISNUMBER(E8)),NOT(ISNUMBER(D8))),"n/a",E8/D8-1)</f>
        <v/>
      </c>
      <c r="F18" s="11">
        <f>IF(OR(NOT(ISNUMBER(F8)),NOT(ISNUMBER(E8))),"n/a",F8/E8-1)</f>
        <v/>
      </c>
    </row>
    <row r="19">
      <c r="A19" s="6" t="inlineStr">
        <is>
          <t>FCF growth % (cash-paid basis)</t>
        </is>
      </c>
      <c r="B19" s="14" t="inlineStr">
        <is>
          <t>n/a</t>
        </is>
      </c>
      <c r="C19" s="11">
        <f>IF(OR(NOT(ISNUMBER(C10)),NOT(ISNUMBER(B10))),"n/a",C10/B10-1)</f>
        <v/>
      </c>
      <c r="D19" s="11">
        <f>IF(OR(NOT(ISNUMBER(D10)),NOT(ISNUMBER(C10))),"n/a",D10/C10-1)</f>
        <v/>
      </c>
      <c r="E19" s="11">
        <f>IF(OR(NOT(ISNUMBER(E10)),NOT(ISNUMBER(D10))),"n/a",E10/D10-1)</f>
        <v/>
      </c>
      <c r="F19" s="11">
        <f>IF(OR(NOT(ISNUMBER(F10)),NOT(ISNUMBER(E10))),"n/a",F10/E10-1)</f>
        <v/>
      </c>
    </row>
    <row r="20">
      <c r="A20" s="6" t="inlineStr">
        <is>
          <t>Inventory growth %</t>
        </is>
      </c>
      <c r="B20" s="14" t="inlineStr">
        <is>
          <t>n/a</t>
        </is>
      </c>
      <c r="C20" s="11">
        <f>IF(OR(NOT(ISNUMBER(C11)),NOT(ISNUMBER(B11))),"n/a",C11/B11-1)</f>
        <v/>
      </c>
      <c r="D20" s="11">
        <f>IF(OR(NOT(ISNUMBER(D11)),NOT(ISNUMBER(C11))),"n/a",D11/C11-1)</f>
        <v/>
      </c>
      <c r="E20" s="11">
        <f>IF(OR(NOT(ISNUMBER(E11)),NOT(ISNUMBER(D11))),"n/a",E11/D11-1)</f>
        <v/>
      </c>
      <c r="F20" s="11">
        <f>IF(OR(NOT(ISNUMBER(F11)),NOT(ISNUMBER(E11))),"n/a",F11/E11-1)</f>
        <v/>
      </c>
    </row>
    <row r="21">
      <c r="A21" s="6" t="inlineStr">
        <is>
          <t>Capex growth %</t>
        </is>
      </c>
      <c r="B21" s="14" t="inlineStr">
        <is>
          <t>n/a</t>
        </is>
      </c>
      <c r="C21" s="11">
        <f>IF(OR(NOT(ISNUMBER(C9)),NOT(ISNUMBER(B9))),"n/a",C9/B9-1)</f>
        <v/>
      </c>
      <c r="D21" s="11">
        <f>IF(OR(NOT(ISNUMBER(D9)),NOT(ISNUMBER(C9))),"n/a",D9/C9-1)</f>
        <v/>
      </c>
      <c r="E21" s="11">
        <f>IF(OR(NOT(ISNUMBER(E9)),NOT(ISNUMBER(D9))),"n/a",E9/D9-1)</f>
        <v/>
      </c>
      <c r="F21" s="11">
        <f>IF(OR(NOT(ISNUMBER(F9)),NOT(ISNUMBER(E9))),"n/a",F9/E9-1)</f>
        <v/>
      </c>
    </row>
    <row r="22"/>
    <row r="23" ht="18" customHeight="1">
      <c r="A23" s="4" t="inlineStr">
        <is>
          <t>FY2026 BRIDGE: NET INCOME → FCF (waterfall logic, $mm) — mechanically derived from Tab 2, cash-paid capex basis</t>
        </is>
      </c>
    </row>
    <row r="24" ht="28" customHeight="1">
      <c r="A24" s="5" t="inlineStr">
        <is>
          <t>Step</t>
        </is>
      </c>
      <c r="B24" s="5" t="inlineStr">
        <is>
          <t>FY2026 $mm</t>
        </is>
      </c>
      <c r="C24" s="5" t="inlineStr">
        <is>
          <t>Cumulative $mm</t>
        </is>
      </c>
      <c r="D24" s="5" t="inlineStr">
        <is>
          <t>Source</t>
        </is>
      </c>
    </row>
    <row r="25">
      <c r="A25" s="6" t="inlineStr">
        <is>
          <t>Net income</t>
        </is>
      </c>
      <c r="B25" s="8">
        <f>'2. Historical Financials'!F16</f>
        <v/>
      </c>
      <c r="C25" s="8">
        <f>B25</f>
        <v/>
      </c>
    </row>
    <row r="26">
      <c r="A26" s="6" t="inlineStr">
        <is>
          <t>+ D&amp;A (non-cash)</t>
        </is>
      </c>
      <c r="B26" s="8">
        <f>'2. Historical Financials'!F31</f>
        <v/>
      </c>
      <c r="C26" s="8">
        <f>C25+B26</f>
        <v/>
      </c>
    </row>
    <row r="27">
      <c r="A27" s="6" t="inlineStr">
        <is>
          <t>+/− Other non-cash &amp; working-capital items (plug = CFO − NI − D&amp;A)</t>
        </is>
      </c>
      <c r="B27" s="8">
        <f>'2. Historical Financials'!F21-'2. Historical Financials'!F16-'2. Historical Financials'!F31</f>
        <v/>
      </c>
      <c r="C27" s="8">
        <f>C26+B27</f>
        <v/>
      </c>
    </row>
    <row r="28">
      <c r="A28" s="16" t="inlineStr">
        <is>
          <t>Subtotal → Operating cash flow (CFO)</t>
        </is>
      </c>
      <c r="B28" s="8">
        <f>'2. Historical Financials'!F21</f>
        <v/>
      </c>
      <c r="C28" s="8">
        <f>C27+B28</f>
        <v/>
      </c>
    </row>
    <row r="29">
      <c r="A29" s="6" t="inlineStr">
        <is>
          <t>− Capex (cash-paid, incl. intangibles)</t>
        </is>
      </c>
      <c r="B29" s="8">
        <f>-('2. Historical Financials'!F23+'2. Historical Financials'!F24)</f>
        <v/>
      </c>
      <c r="C29" s="8">
        <f>C28+B29</f>
        <v/>
      </c>
    </row>
    <row r="30">
      <c r="A30" s="16" t="inlineStr">
        <is>
          <t>Subtotal → Free cash flow (cash-paid basis)</t>
        </is>
      </c>
      <c r="B30" s="8">
        <f>'2. Historical Financials'!F21-'2. Historical Financials'!F23-'2. Historical Financials'!F24</f>
        <v/>
      </c>
      <c r="C30" s="8">
        <f>C29+B30</f>
        <v/>
      </c>
    </row>
    <row r="31">
      <c r="A31" s="24" t="inlineStr">
        <is>
          <t>Memo: the single largest drag inside the 'other non-cash &amp; WC' plug line above is the inventory build — see Tab 2 row for Inventories: FY26 balance $1,021.2mm vs FY25 $581.0mm (+75.8%), while revenue grew only +35.7% (10K26 Note 10 / Balance Sheet).</t>
        </is>
      </c>
    </row>
    <row r="32"/>
    <row r="33" ht="18" customHeight="1">
      <c r="A33" s="4" t="inlineStr">
        <is>
          <t>WORKING CAPITAL DRAG DETAIL, FY2026 vs FY2025 (from 10-K Consolidated Statement of Cash Flows — REPORTED FACT, $mm)</t>
        </is>
      </c>
    </row>
    <row r="34" ht="28" customHeight="1">
      <c r="A34" s="5" t="inlineStr">
        <is>
          <t>Cash-flow line item (change in operating assets/liabilities)</t>
        </is>
      </c>
      <c r="B34" s="5" t="inlineStr">
        <is>
          <t>FY2025</t>
        </is>
      </c>
      <c r="C34" s="5" t="inlineStr">
        <is>
          <t>FY2026</t>
        </is>
      </c>
      <c r="D34" s="5" t="inlineStr"/>
      <c r="E34" s="5" t="inlineStr"/>
      <c r="F34" s="5" t="inlineStr"/>
      <c r="G34" s="42" t="inlineStr">
        <is>
          <t>10K26 Consolidated Statements of Cash Flows</t>
        </is>
      </c>
    </row>
    <row r="35">
      <c r="A35" s="6" t="inlineStr">
        <is>
          <t>Trade accounts receivable</t>
        </is>
      </c>
      <c r="E35" s="9" t="n">
        <v>-165.657</v>
      </c>
      <c r="F35" s="9" t="n">
        <v>-259.258</v>
      </c>
    </row>
    <row r="36">
      <c r="A36" s="6" t="inlineStr">
        <is>
          <t>Inventories</t>
        </is>
      </c>
      <c r="E36" s="9" t="n">
        <v>-117.809</v>
      </c>
      <c r="F36" s="9" t="n">
        <v>-442.901</v>
      </c>
    </row>
    <row r="37">
      <c r="A37" s="6" t="inlineStr">
        <is>
          <t>Other current/non-current assets</t>
        </is>
      </c>
      <c r="E37" s="9" t="n">
        <v>-33.595</v>
      </c>
      <c r="F37" s="9" t="n">
        <v>-108.114</v>
      </c>
    </row>
    <row r="38">
      <c r="A38" s="6" t="inlineStr">
        <is>
          <t>Trade accounts payable</t>
        </is>
      </c>
      <c r="E38" s="9" t="n">
        <v>194.236</v>
      </c>
      <c r="F38" s="9" t="n">
        <v>370.753</v>
      </c>
    </row>
    <row r="39">
      <c r="A39" s="6" t="inlineStr">
        <is>
          <t>Income tax payable</t>
        </is>
      </c>
      <c r="E39" s="9" t="n">
        <v>4.029</v>
      </c>
      <c r="F39" s="9" t="n">
        <v>55.53</v>
      </c>
    </row>
    <row r="40">
      <c r="A40" s="6" t="inlineStr">
        <is>
          <t>Accrued expenses</t>
        </is>
      </c>
      <c r="E40" s="9" t="n">
        <v>13.036</v>
      </c>
      <c r="F40" s="9" t="n">
        <v>16.675</v>
      </c>
    </row>
    <row r="41">
      <c r="A41" s="6" t="inlineStr">
        <is>
          <t>Other payables</t>
        </is>
      </c>
      <c r="E41" s="9" t="n">
        <v>11.522</v>
      </c>
      <c r="F41" s="9" t="n">
        <v>94.753</v>
      </c>
    </row>
    <row r="42">
      <c r="A42" s="16" t="inlineStr">
        <is>
          <t>Net working-capital cash impact (sum)</t>
        </is>
      </c>
      <c r="E42" s="26">
        <f>SUM(E35:E41)</f>
        <v/>
      </c>
      <c r="F42" s="26">
        <f>SUM(F35:F41)</f>
        <v/>
      </c>
    </row>
    <row r="43"/>
    <row r="44">
      <c r="A44" s="17" t="inlineStr">
        <is>
          <t>READ: net income nearly tripled FY24→FY26 ($296.2mm→$473.0mm, +59.7% in the last two years alone) while FCF (cash-paid basis) fell from $364.7mm to ~$3-4mm over the same period — a collapse driven almost entirely by working-capital consumption (inventory +$442.9mm alone in FY26) outrunning the operating cash payables offset, layered on a capex ramp from $47.5mm (FY24) to $252.5mm (FY26) cash-paid.</t>
        </is>
      </c>
    </row>
    <row r="45"/>
    <row r="100">
      <c r="A100" s="17" t="inlineStr">
        <is>
          <t>Sources: all series linked live from Tab 2 (Historical Financials), which cites 10K24/10K26 filing locations directly. Working-capital detail table sourced from 10K26 Consolidated Statements of Cash Flows.</t>
        </is>
      </c>
    </row>
  </sheetData>
  <mergeCells count="9">
    <mergeCell ref="A44:G44"/>
    <mergeCell ref="A1:G1"/>
    <mergeCell ref="A31:G31"/>
    <mergeCell ref="A4:G4"/>
    <mergeCell ref="A100:G100"/>
    <mergeCell ref="A2:G2"/>
    <mergeCell ref="A15:G15"/>
    <mergeCell ref="A33:G33"/>
    <mergeCell ref="A23:G23"/>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2E5395"/>
    <outlinePr summaryBelow="1" summaryRight="1"/>
    <pageSetUpPr/>
  </sheetPr>
  <dimension ref="A1:G4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 width="34" customWidth="1" min="7" max="7"/>
  </cols>
  <sheetData>
    <row r="1" ht="28" customHeight="1">
      <c r="A1" s="1" t="inlineStr">
        <is>
          <t>7. CAPEX &amp; CAPACITY</t>
        </is>
      </c>
      <c r="B1" s="2" t="n"/>
      <c r="C1" s="2" t="n"/>
      <c r="D1" s="2" t="n"/>
      <c r="E1" s="2" t="n"/>
      <c r="F1" s="2" t="n"/>
      <c r="G1" s="2" t="n"/>
    </row>
    <row r="2" ht="16" customHeight="1">
      <c r="A2" s="3" t="inlineStr">
        <is>
          <t>Testing: ‘Fabrinet is committing long-duration capital against short-duration customer demand visibility.’</t>
        </is>
      </c>
      <c r="B2" s="2" t="n"/>
      <c r="C2" s="2" t="n"/>
      <c r="D2" s="2" t="n"/>
      <c r="E2" s="2" t="n"/>
      <c r="F2" s="2" t="n"/>
      <c r="G2" s="2" t="n"/>
    </row>
    <row r="4" ht="18" customHeight="1">
      <c r="A4" s="4" t="inlineStr">
        <is>
          <t>CAPEX HISTORY (linked from Tab 2)</t>
        </is>
      </c>
    </row>
    <row r="5" ht="28" customHeight="1">
      <c r="A5" s="5" t="inlineStr"/>
      <c r="B5" s="5" t="inlineStr">
        <is>
          <t>FY2022</t>
        </is>
      </c>
      <c r="C5" s="5" t="inlineStr">
        <is>
          <t>FY2023</t>
        </is>
      </c>
      <c r="D5" s="5" t="inlineStr">
        <is>
          <t>FY2024</t>
        </is>
      </c>
      <c r="E5" s="5" t="inlineStr">
        <is>
          <t>FY2025</t>
        </is>
      </c>
      <c r="F5" s="5" t="inlineStr">
        <is>
          <t>FY2026</t>
        </is>
      </c>
      <c r="G5" s="5" t="inlineStr">
        <is>
          <t>Source</t>
        </is>
      </c>
    </row>
    <row r="6">
      <c r="A6" s="16" t="inlineStr">
        <is>
          <t>Cash capex (accrual basis, MD&amp;A table)</t>
        </is>
      </c>
      <c r="B6" s="26">
        <f>'2. Historical Financials'!B22</f>
        <v/>
      </c>
      <c r="C6" s="26">
        <f>'2. Historical Financials'!C22</f>
        <v/>
      </c>
      <c r="D6" s="26">
        <f>'2. Historical Financials'!D22</f>
        <v/>
      </c>
      <c r="E6" s="26">
        <f>'2. Historical Financials'!E22</f>
        <v/>
      </c>
      <c r="F6" s="26">
        <f>'2. Historical Financials'!F22</f>
        <v/>
      </c>
    </row>
    <row r="7">
      <c r="A7" s="6" t="inlineStr">
        <is>
          <t>Cash-paid capex (PP&amp;E + intangibles, CF stmt)</t>
        </is>
      </c>
      <c r="B7" s="8">
        <f>'2. Historical Financials'!B23+'2. Historical Financials'!B24</f>
        <v/>
      </c>
      <c r="C7" s="8">
        <f>'2. Historical Financials'!C23+'2. Historical Financials'!C24</f>
        <v/>
      </c>
      <c r="D7" s="8">
        <f>'2. Historical Financials'!D23+'2. Historical Financials'!D24</f>
        <v/>
      </c>
      <c r="E7" s="8">
        <f>'2. Historical Financials'!E23+'2. Historical Financials'!E24</f>
        <v/>
      </c>
      <c r="F7" s="8">
        <f>'2. Historical Financials'!F23+'2. Historical Financials'!F24</f>
        <v/>
      </c>
    </row>
    <row r="8">
      <c r="A8" s="6" t="inlineStr">
        <is>
          <t>Revenue (memo, linked)</t>
        </is>
      </c>
      <c r="B8" s="8">
        <f>'2. Historical Financials'!B6</f>
        <v/>
      </c>
      <c r="C8" s="8">
        <f>'2. Historical Financials'!C6</f>
        <v/>
      </c>
      <c r="D8" s="8">
        <f>'2. Historical Financials'!D6</f>
        <v/>
      </c>
      <c r="E8" s="8">
        <f>'2. Historical Financials'!E6</f>
        <v/>
      </c>
      <c r="F8" s="8">
        <f>'2. Historical Financials'!F6</f>
        <v/>
      </c>
    </row>
    <row r="9">
      <c r="A9" s="16" t="inlineStr">
        <is>
          <t>Capex / Revenue % (accrual basis)</t>
        </is>
      </c>
      <c r="B9" s="11">
        <f>B6/B8</f>
        <v/>
      </c>
      <c r="C9" s="11">
        <f>C6/C8</f>
        <v/>
      </c>
      <c r="D9" s="11">
        <f>D6/D8</f>
        <v/>
      </c>
      <c r="E9" s="11">
        <f>E6/E8</f>
        <v/>
      </c>
      <c r="F9" s="11">
        <f>F6/F8</f>
        <v/>
      </c>
    </row>
    <row r="10">
      <c r="A10" s="6" t="inlineStr">
        <is>
          <t>Capex / Revenue % (cash-paid basis)</t>
        </is>
      </c>
      <c r="B10" s="11">
        <f>B7/B8</f>
        <v/>
      </c>
      <c r="C10" s="11">
        <f>C7/C8</f>
        <v/>
      </c>
      <c r="D10" s="11">
        <f>D7/D8</f>
        <v/>
      </c>
      <c r="E10" s="11">
        <f>E7/E8</f>
        <v/>
      </c>
      <c r="F10" s="11">
        <f>F7/F8</f>
        <v/>
      </c>
    </row>
    <row r="12" ht="18" customHeight="1">
      <c r="A12" s="4" t="inlineStr">
        <is>
          <t>MANUFACTURING FOOTPRINT / FACILITY DISCLOSURES — REPORTED FACT (dollar figures only where disclosed; square footage not disclosed in filings retrieved)</t>
        </is>
      </c>
    </row>
    <row r="13" ht="28" customHeight="1">
      <c r="A13" s="5" t="inlineStr">
        <is>
          <t>Item</t>
        </is>
      </c>
      <c r="B13" s="5" t="inlineStr">
        <is>
          <t>Amount</t>
        </is>
      </c>
      <c r="C13" s="5" t="inlineStr">
        <is>
          <t>Status / date</t>
        </is>
      </c>
      <c r="D13" s="5" t="inlineStr"/>
      <c r="E13" s="5" t="inlineStr"/>
      <c r="F13" s="5" t="inlineStr"/>
      <c r="G13" s="5" t="inlineStr">
        <is>
          <t>Source</t>
        </is>
      </c>
    </row>
    <row r="14" ht="28" customHeight="1">
      <c r="A14" s="6" t="inlineStr">
        <is>
          <t>New manufacturing building, Chonburi campus, Thailand</t>
        </is>
      </c>
      <c r="B14" s="43" t="inlineStr">
        <is>
          <t>$132.5mm (Thai baht 4.45bn) total contract price</t>
        </is>
      </c>
      <c r="D14" s="18" t="inlineStr">
        <is>
          <t>Construction began Feb 2025; $39.7mm remaining balance as of 6/26/2026</t>
        </is>
      </c>
      <c r="G14" s="24" t="inlineStr">
        <is>
          <t>10K26 MD&amp;A Liquidity, p.47</t>
        </is>
      </c>
    </row>
    <row r="15" ht="28" customHeight="1">
      <c r="A15" s="6" t="inlineStr">
        <is>
          <t>Manufacturing sq. footage, Chonburi expansion</t>
        </is>
      </c>
      <c r="B15" s="43" t="inlineStr">
        <is>
          <t>~2.0 million sq ft</t>
        </is>
      </c>
      <c r="D15" s="18" t="inlineStr">
        <is>
          <t>Under construction as of 10-Q date (3/27/2026)</t>
        </is>
      </c>
      <c r="G15" s="24" t="inlineStr">
        <is>
          <t>10K26 MD&amp;A p.47</t>
        </is>
      </c>
    </row>
    <row r="16" ht="28" customHeight="1">
      <c r="A16" s="6" t="inlineStr">
        <is>
          <t>Pathum Thani campus, Thailand</t>
        </is>
      </c>
      <c r="B16" s="43" t="inlineStr">
        <is>
          <t>Not quantified in filings retrieved</t>
        </is>
      </c>
      <c r="D16" s="18" t="inlineStr">
        <is>
          <t>Ongoing investment referenced FY2026-27</t>
        </is>
      </c>
      <c r="G16" s="24" t="inlineStr">
        <is>
          <t>10K26 MD&amp;A p.48</t>
        </is>
      </c>
    </row>
    <row r="17" ht="28" customHeight="1">
      <c r="A17" s="6" t="inlineStr">
        <is>
          <t>New manufacturing building, California, USA</t>
        </is>
      </c>
      <c r="B17" s="43" t="inlineStr">
        <is>
          <t>$76.9mm purchase price</t>
        </is>
      </c>
      <c r="D17" s="18" t="inlineStr">
        <is>
          <t>Acquisition COMPLETED 7/27/2026 (subsequent event, post FY26 year-end)</t>
        </is>
      </c>
      <c r="G17" s="24" t="inlineStr">
        <is>
          <t>10K26 Note 23 'Subsequent Event', p.91</t>
        </is>
      </c>
    </row>
    <row r="18" ht="28" customHeight="1">
      <c r="A18" s="6" t="inlineStr">
        <is>
          <t>Total capex commitments to third parties</t>
        </is>
      </c>
      <c r="B18" s="43" t="inlineStr">
        <is>
          <t>$108.1mm (as of 6/26/2026) vs. $164.7mm (as of 3/27/2026)</t>
        </is>
      </c>
      <c r="D18" s="18" t="inlineStr">
        <is>
          <t>Point-in-time snapshots ~3 months apart — not reconciled, shown as reported</t>
        </is>
      </c>
      <c r="G18" s="24" t="inlineStr">
        <is>
          <t>10K26 Note 19 p.87 / 10-Q Note 14 p.27</t>
        </is>
      </c>
    </row>
    <row r="19" ht="28" customHeight="1">
      <c r="A19" s="6" t="inlineStr">
        <is>
          <t>Total purchase obligations &amp; other commitments</t>
        </is>
      </c>
      <c r="B19" s="43" t="inlineStr">
        <is>
          <t>$3.15bn (as of 6/26/2026) vs. $2.74bn (as of 3/27/2026)</t>
        </is>
      </c>
      <c r="D19" s="18" t="inlineStr">
        <is>
          <t>Inventory/component purchase commitments, generally cancelable/reschedulable per 10-Q language</t>
        </is>
      </c>
      <c r="G19" s="24" t="inlineStr">
        <is>
          <t>10K26 Note 19 p.87 / 10-Q Note 14 p.27</t>
        </is>
      </c>
    </row>
    <row r="21" ht="18" customHeight="1">
      <c r="A21" s="4" t="inlineStr">
        <is>
          <t>DEBT RAISED TO FUND EXPANSION — REPORTED FACT</t>
        </is>
      </c>
    </row>
    <row r="22" ht="28" customHeight="1">
      <c r="A22" s="5" t="inlineStr">
        <is>
          <t>Item</t>
        </is>
      </c>
      <c r="B22" s="5" t="inlineStr">
        <is>
          <t>Amount</t>
        </is>
      </c>
      <c r="C22" s="5" t="inlineStr">
        <is>
          <t>Date</t>
        </is>
      </c>
      <c r="D22" s="5" t="inlineStr"/>
      <c r="E22" s="5" t="inlineStr"/>
      <c r="F22" s="5" t="inlineStr"/>
      <c r="G22" s="5" t="inlineStr">
        <is>
          <t>Source</t>
        </is>
      </c>
    </row>
    <row r="23" ht="26" customHeight="1">
      <c r="A23" s="6" t="inlineStr">
        <is>
          <t>Term Loan Agreement (Thai baht 2.50bn), explicitly “used to support the Company's capital expenditures”</t>
        </is>
      </c>
      <c r="B23" s="43" t="inlineStr">
        <is>
          <t>~$75.0mm</t>
        </is>
      </c>
      <c r="D23" s="44" t="inlineStr">
        <is>
          <t>8/17/2026 (post FY26 year-end)</t>
        </is>
      </c>
      <c r="G23" s="24" t="inlineStr">
        <is>
          <t>10K26 Note 19, p.87</t>
        </is>
      </c>
    </row>
    <row r="24" ht="26" customHeight="1">
      <c r="A24" s="6" t="inlineStr">
        <is>
          <t>2019 Credit Facility amended — total facility increased</t>
        </is>
      </c>
      <c r="B24" s="43" t="inlineStr">
        <is>
          <t>to Thai baht 2.61bn (~$78.3mm) + $100.0mm</t>
        </is>
      </c>
      <c r="D24" s="44" t="inlineStr">
        <is>
          <t>8/17/2026</t>
        </is>
      </c>
      <c r="G24" s="24" t="inlineStr">
        <is>
          <t>10K26 Note 19, p.87</t>
        </is>
      </c>
    </row>
    <row r="25" ht="26" customHeight="1">
      <c r="A25" s="6" t="inlineStr">
        <is>
          <t>2023 Credit Facility Agreement (separate facility)</t>
        </is>
      </c>
      <c r="B25" s="43" t="inlineStr">
        <is>
          <t>$30.0mm (reduced from $55.0mm in Dec-2024 qtr); $0 drawn</t>
        </is>
      </c>
      <c r="D25" s="44" t="inlineStr">
        <is>
          <t>as of 6/26/2026 / 3/27/2026</t>
        </is>
      </c>
      <c r="G25" s="24" t="inlineStr">
        <is>
          <t>10K26 Note 19 p.87; 10-Q Note 14 p.27</t>
        </is>
      </c>
    </row>
    <row r="26" ht="26" customHeight="1">
      <c r="A26" s="6" t="inlineStr">
        <is>
          <t>FY2023 long-term borrowing (historical, fully repaid by FY24)</t>
        </is>
      </c>
      <c r="B26" s="43" t="inlineStr">
        <is>
          <t>$12.156mm outstanding at FYE23</t>
        </is>
      </c>
      <c r="D26" s="44" t="inlineStr">
        <is>
          <t>6/30/2023</t>
        </is>
      </c>
      <c r="G26" s="24" t="inlineStr">
        <is>
          <t>10K24 Balance Sheet</t>
        </is>
      </c>
    </row>
    <row r="29" ht="18" customHeight="1">
      <c r="A29" s="4" t="inlineStr">
        <is>
          <t>TIMELINE OF MAJOR CAPACITY EVENTS (REPORTED FACT, chronological)</t>
        </is>
      </c>
    </row>
    <row r="30">
      <c r="A30" s="45" t="inlineStr">
        <is>
          <t>Date / period</t>
        </is>
      </c>
      <c r="B30" s="45" t="inlineStr">
        <is>
          <t>Event</t>
        </is>
      </c>
      <c r="G30" s="45" t="inlineStr">
        <is>
          <t>Source</t>
        </is>
      </c>
    </row>
    <row r="31" ht="30" customHeight="1">
      <c r="A31" s="16" t="inlineStr">
        <is>
          <t>FY2022-FY2024</t>
        </is>
      </c>
      <c r="B31" s="20" t="inlineStr">
        <is>
          <t>Capex DECLINED each year: $80.5mm→$66.7mm→$49.3mm (accrual basis) — a low-capex-intensity period pre-dating the AI buildout</t>
        </is>
      </c>
      <c r="G31" s="24" t="inlineStr">
        <is>
          <t>10K24</t>
        </is>
      </c>
    </row>
    <row r="32" ht="30" customHeight="1">
      <c r="A32" s="16" t="inlineStr">
        <is>
          <t>Feb 2025</t>
        </is>
      </c>
      <c r="B32" s="20" t="inlineStr">
        <is>
          <t>Construction begins on new ~2.0mm sq ft Chonburi manufacturing building, $132.5mm contract price</t>
        </is>
      </c>
      <c r="G32" s="24" t="inlineStr">
        <is>
          <t>10K26 MD&amp;A p.47</t>
        </is>
      </c>
    </row>
    <row r="33" ht="30" customHeight="1">
      <c r="A33" s="16" t="inlineStr">
        <is>
          <t>FY2025</t>
        </is>
      </c>
      <c r="B33" s="20" t="inlineStr">
        <is>
          <t>Capex nearly triples YoY to $130.7mm (accrual basis)</t>
        </is>
      </c>
      <c r="G33" s="24" t="inlineStr">
        <is>
          <t>10K26</t>
        </is>
      </c>
    </row>
    <row r="34" ht="30" customHeight="1">
      <c r="A34" s="16" t="inlineStr">
        <is>
          <t>FY2026</t>
        </is>
      </c>
      <c r="B34" s="20" t="inlineStr">
        <is>
          <t>Capex more than doubles again to $298.9mm (accrual basis); CFO falls even as NI rises — FCF collapses to ~breakeven</t>
        </is>
      </c>
      <c r="G34" s="24" t="inlineStr">
        <is>
          <t>10K26</t>
        </is>
      </c>
    </row>
    <row r="35" ht="30" customHeight="1">
      <c r="A35" s="16" t="inlineStr">
        <is>
          <t>Jul 27, 2026</t>
        </is>
      </c>
      <c r="B35" s="20" t="inlineStr">
        <is>
          <t>US manufacturing facility acquired for $76.9mm (subsequent event)</t>
        </is>
      </c>
      <c r="G35" s="24" t="inlineStr">
        <is>
          <t>10K26 Note 23, p.91</t>
        </is>
      </c>
    </row>
    <row r="36" ht="30" customHeight="1">
      <c r="A36" s="16" t="inlineStr">
        <is>
          <t>Aug 17, 2026</t>
        </is>
      </c>
      <c r="B36" s="20" t="inlineStr">
        <is>
          <t>$75mm term loan signed — first new borrowing disclosed — explicitly to fund capex; credit facility expanded to $78.3mm+$100mm</t>
        </is>
      </c>
      <c r="G36" s="24" t="inlineStr">
        <is>
          <t>10K26 Note 19, p.87</t>
        </is>
      </c>
    </row>
    <row r="37" ht="30" customHeight="1">
      <c r="A37" s="16" t="inlineStr">
        <is>
          <t>FY2027 (guided)</t>
        </is>
      </c>
      <c r="B37" s="20" t="inlineStr">
        <is>
          <t>Management states FY2027 capex expected to INCREASE further vs. FY2026, driven by the California building purchase and continued Pathum Thani investment</t>
        </is>
      </c>
      <c r="G37" s="24" t="inlineStr">
        <is>
          <t>10K26 MD&amp;A p.48</t>
        </is>
      </c>
    </row>
    <row r="40" ht="18" customHeight="1">
      <c r="A40" s="4" t="inlineStr">
        <is>
          <t>DEMAND-VISIBILITY TEST: capacity investment duration vs. disclosed order visibility</t>
        </is>
      </c>
    </row>
    <row r="41" ht="40" customHeight="1">
      <c r="A41" s="16" t="inlineStr">
        <is>
          <t>Purchase obligations 'generally expected to be fulfilled within one year'</t>
        </is>
      </c>
      <c r="B41" s="20" t="inlineStr">
        <is>
          <t>10-K Note 19 explicitly states obligations are enforceable but customers/FN retain the 'option to cancel, reschedule and/or adjust... prior to delivery' — i.e. ~1-year, adjustable visibility</t>
        </is>
      </c>
    </row>
    <row r="42" ht="40" customHeight="1">
      <c r="A42" s="16" t="inlineStr">
        <is>
          <t>New Chonburi + California + Pathum Thani buildings</t>
        </is>
      </c>
      <c r="B42" s="20" t="inlineStr">
        <is>
          <t>Multi-year physical assets (manufacturing buildings, typically depreciated over years/decades) being committed against ~1-year, cancelable purchase-obligation visibility</t>
        </is>
      </c>
    </row>
    <row r="43" ht="40" customHeight="1">
      <c r="A43" s="16" t="inlineStr">
        <is>
          <t>No long-term customer supply contracts disclosed</t>
        </is>
      </c>
      <c r="B43" s="20" t="inlineStr">
        <is>
          <t>10-K discloses no multi-year MINIMUM-purchase customer commitments comparable to the capacity being built — unlike, e.g., Corning's disclosed multi-year prepaid hyperscaler deals (external, not an FN filing fact, included for contrast only)</t>
        </is>
      </c>
    </row>
    <row r="45">
      <c r="A45" s="17" t="inlineStr">
        <is>
          <t>CONCLUSION ON THE TESTED THESIS: the filings support the 'long-duration capital vs. short-duration visibility' framing directionally — FN is capitalizing multi-year buildings/equipment while its own 10-K characterizes purchase obligations as ~1-year and cancelable/reschedulable. This is a reasonable reading of the disclosed facts, not a company admission — flagged as an interpretation, not a reported fact.</t>
        </is>
      </c>
    </row>
  </sheetData>
  <mergeCells count="39">
    <mergeCell ref="B16:C16"/>
    <mergeCell ref="B42:G42"/>
    <mergeCell ref="B25:C25"/>
    <mergeCell ref="A4:G4"/>
    <mergeCell ref="D17:F17"/>
    <mergeCell ref="B31:F31"/>
    <mergeCell ref="A29:G29"/>
    <mergeCell ref="B18:C18"/>
    <mergeCell ref="D16:F16"/>
    <mergeCell ref="A40:G40"/>
    <mergeCell ref="D18:F18"/>
    <mergeCell ref="B23:C23"/>
    <mergeCell ref="B14:C14"/>
    <mergeCell ref="B17:C17"/>
    <mergeCell ref="D25:F25"/>
    <mergeCell ref="D15:F15"/>
    <mergeCell ref="A45:G45"/>
    <mergeCell ref="D24:F24"/>
    <mergeCell ref="D14:F14"/>
    <mergeCell ref="A1:G1"/>
    <mergeCell ref="D23:F23"/>
    <mergeCell ref="B34:F34"/>
    <mergeCell ref="B19:C19"/>
    <mergeCell ref="B41:G41"/>
    <mergeCell ref="B37:F37"/>
    <mergeCell ref="D26:F26"/>
    <mergeCell ref="B30:F30"/>
    <mergeCell ref="D19:F19"/>
    <mergeCell ref="B24:C24"/>
    <mergeCell ref="B15:C15"/>
    <mergeCell ref="A21:G21"/>
    <mergeCell ref="B33:F33"/>
    <mergeCell ref="A12:G12"/>
    <mergeCell ref="A2:G2"/>
    <mergeCell ref="B43:G43"/>
    <mergeCell ref="B36:F36"/>
    <mergeCell ref="B26:C26"/>
    <mergeCell ref="B32:F32"/>
    <mergeCell ref="B35:F35"/>
  </mergeCells>
  <pageMargins left="0.75" right="0.75" top="1" bottom="1" header="0.5" footer="0.5"/>
</worksheet>
</file>

<file path=xl/worksheets/sheet9.xml><?xml version="1.0" encoding="utf-8"?>
<worksheet xmlns="http://schemas.openxmlformats.org/spreadsheetml/2006/main">
  <sheetPr>
    <tabColor rgb="002E5395"/>
    <outlinePr summaryBelow="1" summaryRight="1"/>
    <pageSetUpPr/>
  </sheetPr>
  <dimension ref="A1:G4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 width="34" customWidth="1" min="7" max="7"/>
  </cols>
  <sheetData>
    <row r="1" ht="28" customHeight="1">
      <c r="A1" s="1" t="inlineStr">
        <is>
          <t>8. MARGIN ANALYSIS</t>
        </is>
      </c>
      <c r="B1" s="2" t="n"/>
      <c r="C1" s="2" t="n"/>
      <c r="D1" s="2" t="n"/>
      <c r="E1" s="2" t="n"/>
      <c r="F1" s="2" t="n"/>
      <c r="G1" s="2" t="n"/>
    </row>
    <row r="2" ht="16" customHeight="1">
      <c r="A2" s="3" t="inlineStr">
        <is>
          <t>Does the AI/datacenter growth cycle show structurally better margins? All figures linked from Tab 2.</t>
        </is>
      </c>
      <c r="B2" s="2" t="n"/>
      <c r="C2" s="2" t="n"/>
      <c r="D2" s="2" t="n"/>
      <c r="E2" s="2" t="n"/>
      <c r="F2" s="2" t="n"/>
      <c r="G2" s="2" t="n"/>
    </row>
    <row r="4" ht="18" customHeight="1">
      <c r="A4" s="4" t="inlineStr">
        <is>
          <t>MARGIN HISTORY (linked from Tab 2)</t>
        </is>
      </c>
    </row>
    <row r="5" ht="28" customHeight="1">
      <c r="A5" s="5" t="inlineStr"/>
      <c r="B5" s="5" t="inlineStr">
        <is>
          <t>FY2022</t>
        </is>
      </c>
      <c r="C5" s="5" t="inlineStr">
        <is>
          <t>FY2023</t>
        </is>
      </c>
      <c r="D5" s="5" t="inlineStr">
        <is>
          <t>FY2024</t>
        </is>
      </c>
      <c r="E5" s="5" t="inlineStr">
        <is>
          <t>FY2025</t>
        </is>
      </c>
      <c r="F5" s="5" t="inlineStr">
        <is>
          <t>FY2026</t>
        </is>
      </c>
      <c r="G5" s="5" t="inlineStr">
        <is>
          <t>Source</t>
        </is>
      </c>
    </row>
    <row r="6">
      <c r="A6" s="16" t="inlineStr">
        <is>
          <t>Revenue</t>
        </is>
      </c>
      <c r="B6" s="26">
        <f>'2. Historical Financials'!B6</f>
        <v/>
      </c>
      <c r="C6" s="26">
        <f>'2. Historical Financials'!C6</f>
        <v/>
      </c>
      <c r="D6" s="26">
        <f>'2. Historical Financials'!D6</f>
        <v/>
      </c>
      <c r="E6" s="26">
        <f>'2. Historical Financials'!E6</f>
        <v/>
      </c>
      <c r="F6" s="26">
        <f>'2. Historical Financials'!F6</f>
        <v/>
      </c>
    </row>
    <row r="7">
      <c r="A7" s="6" t="inlineStr">
        <is>
          <t>Gross profit</t>
        </is>
      </c>
      <c r="B7" s="8">
        <f>'2. Historical Financials'!B9</f>
        <v/>
      </c>
      <c r="C7" s="8">
        <f>'2. Historical Financials'!C9</f>
        <v/>
      </c>
      <c r="D7" s="8">
        <f>'2. Historical Financials'!D9</f>
        <v/>
      </c>
      <c r="E7" s="8">
        <f>'2. Historical Financials'!E9</f>
        <v/>
      </c>
      <c r="F7" s="8">
        <f>'2. Historical Financials'!F9</f>
        <v/>
      </c>
    </row>
    <row r="8">
      <c r="A8" s="16" t="inlineStr">
        <is>
          <t>Gross margin %</t>
        </is>
      </c>
      <c r="B8" s="46">
        <f>'2. Historical Financials'!B10</f>
        <v/>
      </c>
      <c r="C8" s="46">
        <f>'2. Historical Financials'!C10</f>
        <v/>
      </c>
      <c r="D8" s="46">
        <f>'2. Historical Financials'!D10</f>
        <v/>
      </c>
      <c r="E8" s="46">
        <f>'2. Historical Financials'!E10</f>
        <v/>
      </c>
      <c r="F8" s="46">
        <f>'2. Historical Financials'!F10</f>
        <v/>
      </c>
    </row>
    <row r="9">
      <c r="A9" s="6" t="inlineStr">
        <is>
          <t>Operating income</t>
        </is>
      </c>
      <c r="B9" s="8">
        <f>'2. Historical Financials'!B14</f>
        <v/>
      </c>
      <c r="C9" s="8">
        <f>'2. Historical Financials'!C14</f>
        <v/>
      </c>
      <c r="D9" s="8">
        <f>'2. Historical Financials'!D14</f>
        <v/>
      </c>
      <c r="E9" s="8">
        <f>'2. Historical Financials'!E14</f>
        <v/>
      </c>
      <c r="F9" s="8">
        <f>'2. Historical Financials'!F14</f>
        <v/>
      </c>
    </row>
    <row r="10">
      <c r="A10" s="16" t="inlineStr">
        <is>
          <t>Operating margin %</t>
        </is>
      </c>
      <c r="B10" s="46">
        <f>'2. Historical Financials'!B15</f>
        <v/>
      </c>
      <c r="C10" s="46">
        <f>'2. Historical Financials'!C15</f>
        <v/>
      </c>
      <c r="D10" s="46">
        <f>'2. Historical Financials'!D15</f>
        <v/>
      </c>
      <c r="E10" s="46">
        <f>'2. Historical Financials'!E15</f>
        <v/>
      </c>
      <c r="F10" s="46">
        <f>'2. Historical Financials'!F15</f>
        <v/>
      </c>
    </row>
    <row r="11">
      <c r="A11" s="6" t="inlineStr">
        <is>
          <t>Net margin %</t>
        </is>
      </c>
      <c r="B11" s="11">
        <f>'2. Historical Financials'!B17</f>
        <v/>
      </c>
      <c r="C11" s="11">
        <f>'2. Historical Financials'!C17</f>
        <v/>
      </c>
      <c r="D11" s="11">
        <f>'2. Historical Financials'!D17</f>
        <v/>
      </c>
      <c r="E11" s="11">
        <f>'2. Historical Financials'!E17</f>
        <v/>
      </c>
      <c r="F11" s="11">
        <f>'2. Historical Financials'!F17</f>
        <v/>
      </c>
    </row>
    <row r="13" ht="18" customHeight="1">
      <c r="A13" s="4" t="inlineStr">
        <is>
          <t>INCREMENTAL MARGINS (derived: ΔProfit / ΔRevenue, year over year)</t>
        </is>
      </c>
    </row>
    <row r="14" ht="28" customHeight="1">
      <c r="A14" s="5" t="inlineStr"/>
      <c r="B14" s="5" t="inlineStr">
        <is>
          <t>FY2023 vs 22</t>
        </is>
      </c>
      <c r="C14" s="5" t="inlineStr">
        <is>
          <t>FY2024 vs 23</t>
        </is>
      </c>
      <c r="D14" s="5" t="inlineStr">
        <is>
          <t>FY2025 vs 24</t>
        </is>
      </c>
      <c r="E14" s="5" t="inlineStr">
        <is>
          <t>FY2026 vs 25</t>
        </is>
      </c>
      <c r="F14" s="5" t="inlineStr"/>
      <c r="G14" s="5" t="inlineStr">
        <is>
          <t>Source</t>
        </is>
      </c>
    </row>
    <row r="15">
      <c r="A15" s="16" t="inlineStr">
        <is>
          <t>Incremental gross margin = ΔGP / ΔRevenue</t>
        </is>
      </c>
      <c r="C15" s="11">
        <f>(C7-B7)/(C6-B6)</f>
        <v/>
      </c>
      <c r="D15" s="11">
        <f>(D7-C7)/(D6-C6)</f>
        <v/>
      </c>
      <c r="E15" s="11">
        <f>(E7-D7)/(E6-D6)</f>
        <v/>
      </c>
      <c r="F15" s="11">
        <f>(F7-E7)/(F6-E6)</f>
        <v/>
      </c>
    </row>
    <row r="16">
      <c r="A16" s="16" t="inlineStr">
        <is>
          <t>Incremental operating margin = ΔOpInc / ΔRevenue</t>
        </is>
      </c>
      <c r="C16" s="11">
        <f>(C9-B9)/(C6-B6)</f>
        <v/>
      </c>
      <c r="D16" s="11">
        <f>(D9-C9)/(D6-C6)</f>
        <v/>
      </c>
      <c r="E16" s="11">
        <f>(E9-D9)/(E6-D6)</f>
        <v/>
      </c>
      <c r="F16" s="11">
        <f>(F9-E9)/(F6-E6)</f>
        <v/>
      </c>
    </row>
    <row r="18">
      <c r="A18" s="17" t="inlineStr">
        <is>
          <t>READ: if the AI/datacenter cycle carried structurally better economics, incremental gross margin (the margin earned on each NEW dollar of revenue) should exceed the AVERAGE gross margin over time. Compare the incremental-margin row above to the average gross-margin row (12.3-12.7% range) directly above — the model deliberately does not pre-assert the conclusion here; read the computed cells.</t>
        </is>
      </c>
    </row>
    <row r="20" ht="18" customHeight="1">
      <c r="A20" s="4" t="inlineStr">
        <is>
          <t>MARGIN RANGE SUMMARY (mechanically derived from the 5-year history above — used as the Bear/Base/Bull seed range in Tab 11)</t>
        </is>
      </c>
    </row>
    <row r="21" ht="28" customHeight="1">
      <c r="A21" s="5" t="inlineStr">
        <is>
          <t>Metric</t>
        </is>
      </c>
      <c r="B21" s="5" t="inlineStr">
        <is>
          <t>Low (5-yr)</t>
        </is>
      </c>
      <c r="C21" s="5" t="inlineStr">
        <is>
          <t>Average (5-yr)</t>
        </is>
      </c>
      <c r="D21" s="5" t="inlineStr">
        <is>
          <t>High (5-yr)</t>
        </is>
      </c>
      <c r="E21" s="5" t="inlineStr">
        <is>
          <t>Latest (FY26)</t>
        </is>
      </c>
      <c r="F21" s="5" t="inlineStr"/>
      <c r="G21" s="5" t="inlineStr">
        <is>
          <t>Source</t>
        </is>
      </c>
    </row>
    <row r="22">
      <c r="A22" s="16" t="inlineStr">
        <is>
          <t>Gross margin %</t>
        </is>
      </c>
      <c r="B22" s="11">
        <f>MIN(C8:F8)</f>
        <v/>
      </c>
      <c r="C22" s="11">
        <f>AVERAGE(C8:F8)</f>
        <v/>
      </c>
      <c r="D22" s="11">
        <f>MAX(C8:F8)</f>
        <v/>
      </c>
      <c r="E22" s="11">
        <f>F8</f>
        <v/>
      </c>
    </row>
    <row r="23">
      <c r="A23" s="16" t="inlineStr">
        <is>
          <t>Operating margin %</t>
        </is>
      </c>
      <c r="B23" s="11">
        <f>MIN(C10:F10)</f>
        <v/>
      </c>
      <c r="C23" s="11">
        <f>AVERAGE(C10:F10)</f>
        <v/>
      </c>
      <c r="D23" s="11">
        <f>MAX(C10:F10)</f>
        <v/>
      </c>
      <c r="E23" s="11">
        <f>F10</f>
        <v/>
      </c>
    </row>
    <row r="45">
      <c r="A45" s="17" t="inlineStr">
        <is>
          <t>Sources: all figures linked live from Tab 2 (Historical Financials), citing 10K24/10K26 filing locations. Gross margin range: 12.0% (FY26, low) to 12.7% (FY23, high) — note the PEAK was FY2023, BEFORE the AI-driven capex/revenue buildout accelerated in FY25-26.</t>
        </is>
      </c>
    </row>
  </sheetData>
  <mergeCells count="7">
    <mergeCell ref="A13:G13"/>
    <mergeCell ref="A1:G1"/>
    <mergeCell ref="A18:G18"/>
    <mergeCell ref="A4:G4"/>
    <mergeCell ref="A20:G20"/>
    <mergeCell ref="A2:G2"/>
    <mergeCell ref="A45:G45"/>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tabColor rgb="007F6000"/>
    <outlinePr summaryBelow="1" summaryRight="1"/>
    <pageSetUpPr/>
  </sheetPr>
  <dimension ref="A1:I29"/>
  <sheetViews>
    <sheetView showGridLines="0" workbookViewId="0">
      <pane ySplit="4" topLeftCell="A5" activePane="bottomLeft" state="frozen"/>
      <selection pane="bottomLeft" activeCell="A1" sqref="A1"/>
    </sheetView>
  </sheetViews>
  <sheetFormatPr baseColWidth="8" defaultRowHeight="15"/>
  <cols>
    <col width="11" customWidth="1" min="1" max="1"/>
    <col width="16" customWidth="1" min="2" max="2"/>
    <col width="16" customWidth="1" min="3" max="3"/>
    <col width="15" customWidth="1" min="4" max="4"/>
    <col width="11" customWidth="1" min="5" max="5"/>
    <col width="11" customWidth="1" min="6" max="6"/>
    <col width="13" customWidth="1" min="7" max="7"/>
    <col width="42" customWidth="1" min="8" max="8"/>
    <col width="30" customWidth="1" min="9" max="9"/>
  </cols>
  <sheetData>
    <row r="1" ht="28" customHeight="1">
      <c r="A1" s="1" t="inlineStr">
        <is>
          <t>9. SELL-SIDE / ANALYST RESEARCH</t>
        </is>
      </c>
      <c r="B1" s="2" t="n"/>
      <c r="C1" s="2" t="n"/>
      <c r="D1" s="2" t="n"/>
      <c r="E1" s="2" t="n"/>
      <c r="F1" s="2" t="n"/>
      <c r="G1" s="2" t="n"/>
      <c r="H1" s="2" t="n"/>
      <c r="I1" s="2" t="n"/>
    </row>
    <row r="2" ht="16" customHeight="1">
      <c r="A2" s="3" t="inlineStr">
        <is>
          <t>EXTERNAL DATA (not from FN's own filings) — cross-verified via web research 2026-09-18. Current price $386.64 used for implied upside/downside.</t>
        </is>
      </c>
      <c r="B2" s="2" t="n"/>
      <c r="C2" s="2" t="n"/>
      <c r="D2" s="2" t="n"/>
      <c r="E2" s="2" t="n"/>
      <c r="F2" s="2" t="n"/>
      <c r="G2" s="2" t="n"/>
      <c r="H2" s="2" t="n"/>
      <c r="I2" s="2" t="n"/>
    </row>
    <row r="4" ht="28" customHeight="1">
      <c r="A4" s="5" t="inlineStr">
        <is>
          <t>Date</t>
        </is>
      </c>
      <c r="B4" s="5" t="inlineStr">
        <is>
          <t>Firm</t>
        </is>
      </c>
      <c r="C4" s="5" t="inlineStr">
        <is>
          <t>Analyst</t>
        </is>
      </c>
      <c r="D4" s="5" t="inlineStr">
        <is>
          <t>Rating (prev→new)</t>
        </is>
      </c>
      <c r="E4" s="5" t="inlineStr">
        <is>
          <t>PT prev</t>
        </is>
      </c>
      <c r="F4" s="5" t="inlineStr">
        <is>
          <t>PT new</t>
        </is>
      </c>
      <c r="G4" s="5" t="inlineStr">
        <is>
          <t>Implied upside/downside vs. $386.64</t>
        </is>
      </c>
      <c r="H4" s="5" t="inlineStr">
        <is>
          <t>Reasoning</t>
        </is>
      </c>
      <c r="I4" s="5" t="inlineStr">
        <is>
          <t>Source</t>
        </is>
      </c>
    </row>
    <row r="5" ht="46" customHeight="1">
      <c r="A5" s="7" t="inlineStr">
        <is>
          <t>2026-01-22</t>
        </is>
      </c>
      <c r="B5" s="7" t="inlineStr">
        <is>
          <t>Susquehanna</t>
        </is>
      </c>
      <c r="C5" s="7" t="inlineStr">
        <is>
          <t>Christopher Rolland</t>
        </is>
      </c>
      <c r="D5" s="47" t="inlineStr">
        <is>
          <t>Positive → Positive (maint.)</t>
        </is>
      </c>
      <c r="E5" s="48" t="n">
        <v>550</v>
      </c>
      <c r="F5" s="48" t="n">
        <v>570</v>
      </c>
      <c r="G5" s="11">
        <f>F5/386.64-1</f>
        <v/>
      </c>
      <c r="H5" s="34" t="inlineStr">
        <is>
          <t>Target raised into optical/AI-networking demand strength</t>
        </is>
      </c>
      <c r="I5" s="35" t="inlineStr">
        <is>
          <t>MarketBeat PT history; WebSearch corroborated</t>
        </is>
      </c>
    </row>
    <row r="6" ht="46" customHeight="1">
      <c r="A6" s="7" t="inlineStr">
        <is>
          <t>2026-02-03</t>
        </is>
      </c>
      <c r="B6" s="7" t="inlineStr">
        <is>
          <t>B. Riley Securities</t>
        </is>
      </c>
      <c r="C6" s="7" t="inlineStr">
        <is>
          <t>Dave Kang</t>
        </is>
      </c>
      <c r="D6" s="47" t="inlineStr">
        <is>
          <t>Neutral → Neutral (maint.)</t>
        </is>
      </c>
      <c r="E6" s="48" t="n">
        <v>366</v>
      </c>
      <c r="F6" s="48" t="n">
        <v>452</v>
      </c>
      <c r="G6" s="11">
        <f>F6/386.64-1</f>
        <v/>
      </c>
      <c r="H6" s="34" t="inlineStr">
        <is>
          <t>Target raised; detailed rationale not accessible</t>
        </is>
      </c>
      <c r="I6" s="35" t="inlineStr">
        <is>
          <t>MarketBeat PT history; WebSearch corroborated</t>
        </is>
      </c>
    </row>
    <row r="7" ht="46" customHeight="1">
      <c r="A7" s="7" t="inlineStr">
        <is>
          <t>2026-04-16</t>
        </is>
      </c>
      <c r="B7" s="7" t="inlineStr">
        <is>
          <t>JPMorgan</t>
        </is>
      </c>
      <c r="C7" s="7" t="inlineStr">
        <is>
          <t>Samik Chatterjee</t>
        </is>
      </c>
      <c r="D7" s="49" t="inlineStr">
        <is>
          <t>Overweight → Neutral (DOWNGRADE)</t>
        </is>
      </c>
      <c r="E7" s="48" t="n">
        <v>530</v>
      </c>
      <c r="F7" s="48" t="n">
        <v>700</v>
      </c>
      <c r="G7" s="11">
        <f>F7/386.64-1</f>
        <v/>
      </c>
      <c r="H7" s="34" t="inlineStr">
        <is>
          <t>Cautious on sector valuation heading into earnings; says current valuation requires investors to “dial forward” to 2028 earnings, and 2028 visibility needs to improve to support further upside</t>
        </is>
      </c>
      <c r="I7" s="35" t="inlineStr">
        <is>
          <t>StreetInsider; TipRanks/The Fly; Seeking Alpha; MarketBeat mirrors (all dated 2026-04-16)</t>
        </is>
      </c>
    </row>
    <row r="8" ht="46" customHeight="1">
      <c r="A8" s="7" t="inlineStr">
        <is>
          <t>2026-04-20</t>
        </is>
      </c>
      <c r="B8" s="7" t="inlineStr">
        <is>
          <t>Northland Securities</t>
        </is>
      </c>
      <c r="C8" s="7" t="inlineStr">
        <is>
          <t>Tim Savageaux</t>
        </is>
      </c>
      <c r="D8" s="47" t="inlineStr">
        <is>
          <t>Buy → Buy (maint.)</t>
        </is>
      </c>
      <c r="E8" s="14" t="inlineStr">
        <is>
          <t>n/a</t>
        </is>
      </c>
      <c r="F8" s="48" t="n">
        <v>800</v>
      </c>
      <c r="G8" s="11">
        <f>F8/386.64-1</f>
        <v/>
      </c>
      <c r="H8" s="34" t="inlineStr">
        <is>
          <t>Reiterated bullish view on AI-optics demand</t>
        </is>
      </c>
      <c r="I8" s="35" t="inlineStr">
        <is>
          <t>MarketBeat; Investing.com; Globe and Mail</t>
        </is>
      </c>
    </row>
    <row r="9" ht="46" customHeight="1">
      <c r="A9" s="7" t="inlineStr">
        <is>
          <t>2026-05-06</t>
        </is>
      </c>
      <c r="B9" s="7" t="inlineStr">
        <is>
          <t>Barclays</t>
        </is>
      </c>
      <c r="C9" s="7" t="inlineStr">
        <is>
          <t>Tim Long</t>
        </is>
      </c>
      <c r="D9" s="47" t="inlineStr">
        <is>
          <t>Overweight → Overweight (maint.)</t>
        </is>
      </c>
      <c r="E9" s="48" t="n">
        <v>548</v>
      </c>
      <c r="F9" s="48" t="n">
        <v>702</v>
      </c>
      <c r="G9" s="11">
        <f>F9/386.64-1</f>
        <v/>
      </c>
      <c r="H9" s="34" t="inlineStr">
        <is>
          <t>Raised on record fiscal Q3 FY26 revenue/EPS beat</t>
        </is>
      </c>
      <c r="I9" s="35" t="inlineStr">
        <is>
          <t>MarketBeat; Yahoo Finance</t>
        </is>
      </c>
    </row>
    <row r="10" ht="46" customHeight="1">
      <c r="A10" s="7" t="inlineStr">
        <is>
          <t>2026-07-22</t>
        </is>
      </c>
      <c r="B10" s="7" t="inlineStr">
        <is>
          <t>Needham &amp; Company</t>
        </is>
      </c>
      <c r="C10" s="7" t="inlineStr">
        <is>
          <t>Ryan Koontz</t>
        </is>
      </c>
      <c r="D10" s="47" t="inlineStr">
        <is>
          <t>Buy → Buy (maint.)</t>
        </is>
      </c>
      <c r="E10" s="48" t="n">
        <v>800</v>
      </c>
      <c r="F10" s="48" t="n">
        <v>650</v>
      </c>
      <c r="G10" s="11">
        <f>F10/386.64-1</f>
        <v/>
      </c>
      <c r="H10" s="34" t="inlineStr">
        <is>
          <t>Target CUT ahead of Q4 earnings; specific driver not independently confirmed</t>
        </is>
      </c>
      <c r="I10" s="35" t="inlineStr">
        <is>
          <t>WebSearch, 2 independent snippets</t>
        </is>
      </c>
    </row>
    <row r="11" ht="46" customHeight="1">
      <c r="A11" s="7" t="inlineStr">
        <is>
          <t>2026-08-18</t>
        </is>
      </c>
      <c r="B11" s="7" t="inlineStr">
        <is>
          <t>JPMorgan</t>
        </is>
      </c>
      <c r="C11" s="7" t="inlineStr">
        <is>
          <t>Joseph Cardoso</t>
        </is>
      </c>
      <c r="D11" s="47" t="inlineStr">
        <is>
          <t>Neutral → Neutral (reiterated)</t>
        </is>
      </c>
      <c r="E11" s="48" t="n">
        <v>680</v>
      </c>
      <c r="F11" s="48" t="n">
        <v>695</v>
      </c>
      <c r="G11" s="11">
        <f>F11/386.64-1</f>
        <v/>
      </c>
      <c r="H11" s="34" t="inlineStr">
        <is>
          <t>Raised modestly despite the post-earnings sell-off; no downgrade issued on the FCF miss</t>
        </is>
      </c>
      <c r="I11" s="35" t="inlineStr">
        <is>
          <t>MarketBeat PT history table</t>
        </is>
      </c>
    </row>
    <row r="12" ht="46" customHeight="1">
      <c r="A12" s="7" t="inlineStr">
        <is>
          <t>2026-08-18</t>
        </is>
      </c>
      <c r="B12" s="7" t="inlineStr">
        <is>
          <t>Barclays</t>
        </is>
      </c>
      <c r="C12" s="7" t="inlineStr">
        <is>
          <t>Tim Long</t>
        </is>
      </c>
      <c r="D12" s="47" t="inlineStr">
        <is>
          <t>Overweight → Overweight (reiterated)</t>
        </is>
      </c>
      <c r="E12" s="48" t="n">
        <v>702</v>
      </c>
      <c r="F12" s="48" t="n">
        <v>739</v>
      </c>
      <c r="G12" s="11">
        <f>F12/386.64-1</f>
        <v/>
      </c>
      <c r="H12" s="34" t="inlineStr">
        <is>
          <t>Raised despite the post-earnings drop</t>
        </is>
      </c>
      <c r="I12" s="35" t="inlineStr">
        <is>
          <t>MarketBeat PT history table</t>
        </is>
      </c>
    </row>
    <row r="13" ht="46" customHeight="1">
      <c r="A13" s="7" t="inlineStr">
        <is>
          <t>2026-08-18</t>
        </is>
      </c>
      <c r="B13" s="7" t="inlineStr">
        <is>
          <t>Needham &amp; Company</t>
        </is>
      </c>
      <c r="C13" s="7" t="inlineStr">
        <is>
          <t>Ryan Koontz</t>
        </is>
      </c>
      <c r="D13" s="47" t="inlineStr">
        <is>
          <t>Buy → Buy (reiterated)</t>
        </is>
      </c>
      <c r="E13" s="48" t="n">
        <v>650</v>
      </c>
      <c r="F13" s="48" t="n">
        <v>650</v>
      </c>
      <c r="G13" s="11">
        <f>F13/386.64-1</f>
        <v/>
      </c>
      <c r="H13" s="34" t="inlineStr">
        <is>
          <t>Reiterated post-earnings, no change</t>
        </is>
      </c>
      <c r="I13" s="35" t="inlineStr">
        <is>
          <t>MarketBeat PT history table</t>
        </is>
      </c>
    </row>
    <row r="14" ht="46" customHeight="1">
      <c r="A14" s="7" t="inlineStr">
        <is>
          <t>2026-08-18</t>
        </is>
      </c>
      <c r="B14" s="7" t="inlineStr">
        <is>
          <t>Rosenblatt Securities</t>
        </is>
      </c>
      <c r="C14" s="7" t="inlineStr">
        <is>
          <t>Mike Genovese</t>
        </is>
      </c>
      <c r="D14" s="47" t="inlineStr">
        <is>
          <t>Buy → Buy (reiterated)</t>
        </is>
      </c>
      <c r="E14" s="48" t="n">
        <v>750</v>
      </c>
      <c r="F14" s="48" t="n">
        <v>750</v>
      </c>
      <c r="G14" s="11">
        <f>F14/386.64-1</f>
        <v/>
      </c>
      <c r="H14" s="34" t="inlineStr">
        <is>
          <t>Maintained bullish stance post-earnings (one other source claims $715→$750 raise — unreconciled conflict, flagged)</t>
        </is>
      </c>
      <c r="I14" s="35" t="inlineStr">
        <is>
          <t>MarketBeat PT history table vs. separate WebSearch summary</t>
        </is>
      </c>
    </row>
    <row r="16">
      <c r="A16" s="17" t="inlineStr">
        <is>
          <t>⚠ JPMorgan downgrade of 4/16/2026 (Overweight→Neutral) is the strongest-verified action, cross-corroborated across StreetInsider, TipRanks/The Fly, Seeking Alpha and MarketBeat, all dated 2026-04-16: JPMorgan cited that current valuation requires investors to ‘dial forward’ to 2028 earnings and that 2028 visibility needs to improve to support further upside.</t>
        </is>
      </c>
    </row>
    <row r="17">
      <c r="A17" s="17" t="inlineStr">
        <is>
          <t>⚠ On the post-FY26-earnings date itself (8/18/2026, the day the stock fell ~22%), JPMorgan, Barclays, Needham and Rosenblatt all REITERATED or RAISED targets rather than downgrading — no sell-side rating downgrade was found in the days immediately following the FCF-collapse earnings print. The stock's drop appears to be a buy-side reaction, not a sell-side-led repricing.</t>
        </is>
      </c>
    </row>
    <row r="19" ht="18" customHeight="1">
      <c r="A19" s="4" t="inlineStr">
        <is>
          <t>NON-BANK / QUANT RATING ACTIONS (included for completeness — not sell-side banks)</t>
        </is>
      </c>
    </row>
    <row r="20" ht="28" customHeight="1">
      <c r="A20" s="5" t="inlineStr">
        <is>
          <t>Date</t>
        </is>
      </c>
      <c r="B20" s="5" t="inlineStr">
        <is>
          <t>Firm</t>
        </is>
      </c>
      <c r="C20" s="5" t="inlineStr">
        <is>
          <t>Rating change</t>
        </is>
      </c>
      <c r="D20" s="5" t="inlineStr">
        <is>
          <t>Price target</t>
        </is>
      </c>
      <c r="E20" s="5" t="inlineStr"/>
      <c r="F20" s="5" t="inlineStr"/>
      <c r="G20" s="5" t="inlineStr"/>
      <c r="H20" s="5" t="inlineStr">
        <is>
          <t>Note</t>
        </is>
      </c>
      <c r="I20" s="5" t="inlineStr">
        <is>
          <t>Source</t>
        </is>
      </c>
    </row>
    <row r="21" ht="26" customHeight="1">
      <c r="A21" s="7" t="inlineStr">
        <is>
          <t>2026-02-04</t>
        </is>
      </c>
      <c r="B21" s="7" t="inlineStr">
        <is>
          <t>Wolfe Research</t>
        </is>
      </c>
      <c r="C21" s="50" t="inlineStr">
        <is>
          <t>Peer Perform → Outperform (upgrade)</t>
        </is>
      </c>
      <c r="D21" s="7" t="inlineStr">
        <is>
          <t>$540 (unchanged)</t>
        </is>
      </c>
      <c r="H21" s="51" t="inlineStr">
        <is>
          <t>Not a sell-side bank on the priority list; genuine rating upgrade, included for completeness</t>
        </is>
      </c>
      <c r="I21" s="52" t="inlineStr">
        <is>
          <t>MarketBeat / WebSearch</t>
        </is>
      </c>
    </row>
    <row r="22" ht="26" customHeight="1">
      <c r="A22" s="7" t="inlineStr">
        <is>
          <t>2026-06-15</t>
        </is>
      </c>
      <c r="B22" s="7" t="inlineStr">
        <is>
          <t>Zacks Research (quant)</t>
        </is>
      </c>
      <c r="C22" s="50" t="inlineStr">
        <is>
          <t>Strong-Buy → Hold (downgrade)</t>
        </is>
      </c>
      <c r="D22" s="7" t="inlineStr">
        <is>
          <t>n/a</t>
        </is>
      </c>
      <c r="H22" s="51" t="inlineStr">
        <is>
          <t>Algorithmic quant rating, not a sell-side bank</t>
        </is>
      </c>
      <c r="I22" s="52" t="inlineStr">
        <is>
          <t>MarketBeat / WebSearch</t>
        </is>
      </c>
    </row>
    <row r="23" ht="26" customHeight="1">
      <c r="A23" s="7" t="inlineStr">
        <is>
          <t>2026-08-19</t>
        </is>
      </c>
      <c r="B23" s="7" t="inlineStr">
        <is>
          <t>Fox Advisors</t>
        </is>
      </c>
      <c r="C23" s="50" t="inlineStr">
        <is>
          <t>Equal Weight → Overweight (upgrade)</t>
        </is>
      </c>
      <c r="D23" s="7" t="inlineStr">
        <is>
          <t>n/a</t>
        </is>
      </c>
      <c r="H23" s="51" t="inlineStr">
        <is>
          <t>Not on priority bank list; included for completeness</t>
        </is>
      </c>
      <c r="I23" s="52" t="inlineStr">
        <is>
          <t>MarketBeat / WebSearch</t>
        </is>
      </c>
    </row>
    <row r="24" ht="26" customHeight="1">
      <c r="A24" s="7" t="inlineStr">
        <is>
          <t>2026-09-09</t>
        </is>
      </c>
      <c r="B24" s="7" t="inlineStr">
        <is>
          <t>Weiss Ratings (quant)</t>
        </is>
      </c>
      <c r="C24" s="50" t="inlineStr">
        <is>
          <t>Buy (B-) → Hold (C+) (downgrade)</t>
        </is>
      </c>
      <c r="D24" s="7" t="inlineStr">
        <is>
          <t>n/a</t>
        </is>
      </c>
      <c r="H24" s="51" t="inlineStr">
        <is>
          <t>Algorithmic quant rating, not a sell-side bank</t>
        </is>
      </c>
      <c r="I24" s="52" t="inlineStr">
        <is>
          <t>MarketBeat / WebSearch</t>
        </is>
      </c>
    </row>
    <row r="26" ht="18" customHeight="1">
      <c r="A26" s="4" t="inlineStr">
        <is>
          <t>BANKS ON THE COMPETITION PRIORITY LIST WITH NO VERIFIABLE COVERAGE FOUND</t>
        </is>
      </c>
    </row>
    <row r="27" ht="30" customHeight="1">
      <c r="A27" s="53" t="inlineStr">
        <is>
          <t>Morgan Stanley, Goldman Sachs, Bank of America, Citi, UBS, Evercore, Jefferies — searched individually; no dated rating/PT action located in accessible sources. Not assumed to be uncovered, just unverifiable here.</t>
        </is>
      </c>
    </row>
    <row r="29">
      <c r="A29" s="17" t="inlineStr">
        <is>
          <t>Research caveat (from verification pass): financial-news aggregators sometimes surface stale/mismatched cached content (e.g. one TipRanks fetch returned a JPMorgan action with a 2024-vintage price target under a 2026 headline — discarded). Every row above was cross-corroborated across ≥2 independent sources or a structured MarketBeat data table, not an AI-generated summary alone.</t>
        </is>
      </c>
    </row>
  </sheetData>
  <mergeCells count="8">
    <mergeCell ref="A29:I29"/>
    <mergeCell ref="A19:I19"/>
    <mergeCell ref="A2:I2"/>
    <mergeCell ref="A1:I1"/>
    <mergeCell ref="A17:I17"/>
    <mergeCell ref="A27:I27"/>
    <mergeCell ref="A26:I26"/>
    <mergeCell ref="A16:I16"/>
  </mergeCells>
  <pageMargins left="0.75" right="0.75" top="1" bottom="1" header="0.5" footer="0.5"/>
</worksheet>
</file>

<file path=xl/worksheets/sheet11.xml><?xml version="1.0" encoding="utf-8"?>
<worksheet xmlns="http://schemas.openxmlformats.org/spreadsheetml/2006/main">
  <sheetPr>
    <tabColor rgb="007F6000"/>
    <outlinePr summaryBelow="1" summaryRight="1"/>
    <pageSetUpPr/>
  </sheetPr>
  <dimension ref="A1:F5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14" customWidth="1" min="4" max="4"/>
    <col width="14" customWidth="1" min="5" max="5"/>
    <col width="34" customWidth="1" min="6" max="6"/>
  </cols>
  <sheetData>
    <row r="1" ht="28" customHeight="1">
      <c r="A1" s="1" t="inlineStr">
        <is>
          <t>10. CONSENSUS ESTIMATES</t>
        </is>
      </c>
      <c r="B1" s="2" t="n"/>
      <c r="C1" s="2" t="n"/>
      <c r="D1" s="2" t="n"/>
      <c r="E1" s="2" t="n"/>
      <c r="F1" s="2" t="n"/>
    </row>
    <row r="2" ht="16" customHeight="1">
      <c r="A2" s="3" t="inlineStr">
        <is>
          <t>EXTERNAL DATA. FY2026 = actual (10-K). FY2027 = verified consensus. FY2028-29 = NOT independently verifiable as genuine polled consensus — left blank rather than filled with narrative-model figures.</t>
        </is>
      </c>
      <c r="B2" s="2" t="n"/>
      <c r="C2" s="2" t="n"/>
      <c r="D2" s="2" t="n"/>
      <c r="E2" s="2" t="n"/>
      <c r="F2" s="2" t="n"/>
    </row>
    <row r="4" ht="28" customHeight="1">
      <c r="A4" s="5" t="inlineStr">
        <is>
          <t>Metric</t>
        </is>
      </c>
      <c r="B4" s="5" t="inlineStr">
        <is>
          <t>FY2026A</t>
        </is>
      </c>
      <c r="C4" s="5" t="inlineStr">
        <is>
          <t>FY2027E (consensus)</t>
        </is>
      </c>
      <c r="D4" s="5" t="inlineStr">
        <is>
          <t>FY2028E</t>
        </is>
      </c>
      <c r="E4" s="5" t="inlineStr">
        <is>
          <t>FY2029E</t>
        </is>
      </c>
      <c r="F4" s="5" t="inlineStr">
        <is>
          <t>Source / basis</t>
        </is>
      </c>
    </row>
    <row r="5">
      <c r="A5" s="16" t="inlineStr">
        <is>
          <t>Revenue ($mm)</t>
        </is>
      </c>
      <c r="B5" s="26">
        <f>'2. Historical Financials'!F6</f>
        <v/>
      </c>
      <c r="C5" s="9" t="n">
        <v>6090</v>
      </c>
      <c r="D5" s="14" t="inlineStr">
        <is>
          <t>Not independently verifiable as polled consensus</t>
        </is>
      </c>
      <c r="E5" s="14" t="inlineStr">
        <is>
          <t>Not independently verifiable as polled consensus</t>
        </is>
      </c>
      <c r="F5" s="24" t="inlineStr">
        <is>
          <t>FY26: Tab 2 (10-K). FY27: stockanalysis.com/stocks/fn/forecast, 6 analysts, captured 2026-09-18</t>
        </is>
      </c>
    </row>
    <row r="6">
      <c r="A6" s="25" t="inlineStr">
        <is>
          <t xml:space="preserve">  Revenue growth % YoY</t>
        </is>
      </c>
      <c r="B6" s="11">
        <f>'2. Historical Financials'!F7</f>
        <v/>
      </c>
      <c r="C6" s="11">
        <f>C5/B5-1</f>
        <v/>
      </c>
      <c r="D6" s="14" t="inlineStr">
        <is>
          <t>n/a</t>
        </is>
      </c>
      <c r="E6" s="14" t="inlineStr">
        <is>
          <t>n/a</t>
        </is>
      </c>
    </row>
    <row r="7">
      <c r="A7" s="6" t="inlineStr">
        <is>
          <t>Gross margin %</t>
        </is>
      </c>
      <c r="B7" s="11">
        <f>'2. Historical Financials'!F10</f>
        <v/>
      </c>
      <c r="C7" s="14" t="inlineStr">
        <is>
          <t>Not disclosed by consensus source</t>
        </is>
      </c>
      <c r="D7" s="14" t="inlineStr">
        <is>
          <t>n/a</t>
        </is>
      </c>
      <c r="E7" s="14" t="inlineStr">
        <is>
          <t>n/a</t>
        </is>
      </c>
    </row>
    <row r="8">
      <c r="A8" s="6" t="inlineStr">
        <is>
          <t>Operating income ($mm)</t>
        </is>
      </c>
      <c r="B8" s="8">
        <f>'2. Historical Financials'!F14</f>
        <v/>
      </c>
      <c r="C8" s="14" t="inlineStr">
        <is>
          <t>Not disclosed by consensus source</t>
        </is>
      </c>
      <c r="D8" s="14" t="inlineStr">
        <is>
          <t>n/a</t>
        </is>
      </c>
      <c r="E8" s="14" t="inlineStr">
        <is>
          <t>n/a</t>
        </is>
      </c>
    </row>
    <row r="9">
      <c r="A9" s="6" t="inlineStr">
        <is>
          <t>Operating margin %</t>
        </is>
      </c>
      <c r="B9" s="11">
        <f>'2. Historical Financials'!F15</f>
        <v/>
      </c>
      <c r="C9" s="14" t="inlineStr">
        <is>
          <t>n/a</t>
        </is>
      </c>
      <c r="D9" s="14" t="inlineStr">
        <is>
          <t>n/a</t>
        </is>
      </c>
      <c r="E9" s="14" t="inlineStr">
        <is>
          <t>n/a</t>
        </is>
      </c>
    </row>
    <row r="10">
      <c r="A10" s="6" t="inlineStr">
        <is>
          <t>EBITDA ($mm)</t>
        </is>
      </c>
      <c r="B10" s="8">
        <f>'2. Historical Financials'!F32</f>
        <v/>
      </c>
      <c r="C10" s="14" t="inlineStr">
        <is>
          <t>n/a</t>
        </is>
      </c>
      <c r="D10" s="14" t="inlineStr">
        <is>
          <t>n/a</t>
        </is>
      </c>
      <c r="E10" s="14" t="inlineStr">
        <is>
          <t>n/a</t>
        </is>
      </c>
    </row>
    <row r="11">
      <c r="A11" s="16" t="inlineStr">
        <is>
          <t>EPS, diluted ($/sh)</t>
        </is>
      </c>
      <c r="B11" s="26">
        <f>'2. Historical Financials'!F18</f>
        <v/>
      </c>
      <c r="C11" s="13" t="n">
        <v>18.16</v>
      </c>
      <c r="D11" s="14" t="inlineStr">
        <is>
          <t>Not independently verifiable</t>
        </is>
      </c>
      <c r="E11" s="14" t="inlineStr">
        <is>
          <t>Not independently verifiable</t>
        </is>
      </c>
      <c r="F11" s="24" t="inlineStr">
        <is>
          <t>FY27 EPS consensus: stockanalysis.com, 6 analysts</t>
        </is>
      </c>
    </row>
    <row r="12">
      <c r="A12" s="25" t="inlineStr">
        <is>
          <t xml:space="preserve">  EPS growth % YoY</t>
        </is>
      </c>
      <c r="B12" s="14" t="inlineStr">
        <is>
          <t>n/a</t>
        </is>
      </c>
      <c r="C12" s="11">
        <f>C11/B11-1</f>
        <v/>
      </c>
      <c r="D12" s="14" t="inlineStr">
        <is>
          <t>n/a</t>
        </is>
      </c>
      <c r="E12" s="14" t="inlineStr">
        <is>
          <t>n/a</t>
        </is>
      </c>
    </row>
    <row r="13">
      <c r="A13" s="6" t="inlineStr">
        <is>
          <t>Operating cash flow ($mm)</t>
        </is>
      </c>
      <c r="B13" s="8">
        <f>'2. Historical Financials'!F21</f>
        <v/>
      </c>
      <c r="C13" s="14" t="inlineStr">
        <is>
          <t>Not disclosed by consensus source</t>
        </is>
      </c>
      <c r="D13" s="14" t="inlineStr">
        <is>
          <t>n/a</t>
        </is>
      </c>
      <c r="E13" s="14" t="inlineStr">
        <is>
          <t>n/a</t>
        </is>
      </c>
    </row>
    <row r="14">
      <c r="A14" s="6" t="inlineStr">
        <is>
          <t>Capex ($mm, cash-paid)</t>
        </is>
      </c>
      <c r="B14" s="8">
        <f>'2. Historical Financials'!F23+'2. Historical Financials'!F24</f>
        <v/>
      </c>
      <c r="C14" s="14" t="inlineStr">
        <is>
          <t>Not disclosed by consensus source</t>
        </is>
      </c>
      <c r="D14" s="14" t="inlineStr">
        <is>
          <t>n/a</t>
        </is>
      </c>
      <c r="E14" s="14" t="inlineStr">
        <is>
          <t>n/a</t>
        </is>
      </c>
    </row>
    <row r="15">
      <c r="A15" s="6" t="inlineStr">
        <is>
          <t>FCF ($mm, cash-paid basis)</t>
        </is>
      </c>
      <c r="B15" s="8">
        <f>'2. Historical Financials'!F26</f>
        <v/>
      </c>
      <c r="C15" s="14" t="inlineStr">
        <is>
          <t>Not disclosed by consensus source</t>
        </is>
      </c>
      <c r="D15" s="14" t="inlineStr">
        <is>
          <t>n/a</t>
        </is>
      </c>
      <c r="E15" s="14" t="inlineStr">
        <is>
          <t>n/a</t>
        </is>
      </c>
    </row>
    <row r="16">
      <c r="A16" s="6" t="inlineStr">
        <is>
          <t>FCF margin %</t>
        </is>
      </c>
      <c r="B16" s="11">
        <f>'2. Historical Financials'!F28</f>
        <v/>
      </c>
      <c r="C16" s="14" t="inlineStr">
        <is>
          <t>n/a</t>
        </is>
      </c>
      <c r="D16" s="14" t="inlineStr">
        <is>
          <t>n/a</t>
        </is>
      </c>
      <c r="E16" s="14" t="inlineStr">
        <is>
          <t>n/a</t>
        </is>
      </c>
    </row>
    <row r="18" ht="18" customHeight="1">
      <c r="A18" s="4" t="inlineStr">
        <is>
          <t>IMPLIED VALUATION AT CURRENT SHARE PRICE ($386.64, 2026-09-18)</t>
        </is>
      </c>
    </row>
    <row r="19" ht="28" customHeight="1">
      <c r="A19" s="5" t="inlineStr">
        <is>
          <t>Metric</t>
        </is>
      </c>
      <c r="B19" s="5" t="inlineStr">
        <is>
          <t>FY2026A</t>
        </is>
      </c>
      <c r="C19" s="5" t="inlineStr">
        <is>
          <t>FY2027E</t>
        </is>
      </c>
      <c r="D19" s="5" t="inlineStr"/>
      <c r="E19" s="5" t="inlineStr"/>
      <c r="F19" s="5" t="inlineStr">
        <is>
          <t>Source / basis</t>
        </is>
      </c>
    </row>
    <row r="20">
      <c r="A20" s="6" t="inlineStr">
        <is>
          <t>P/E</t>
        </is>
      </c>
      <c r="B20" s="12">
        <f>386.64/B11</f>
        <v/>
      </c>
      <c r="C20" s="12">
        <f>386.64/C11</f>
        <v/>
      </c>
      <c r="F20" s="24" t="inlineStr">
        <is>
          <t>Price / EPS. FY26A ties closely to Yahoo trailing P/E of 30.09x</t>
        </is>
      </c>
    </row>
    <row r="21">
      <c r="A21" s="6" t="inlineStr">
        <is>
          <t>EV / Revenue</t>
        </is>
      </c>
      <c r="B21" s="12">
        <f>13200.0/B5</f>
        <v/>
      </c>
      <c r="C21" s="12">
        <f>13200.0/C5</f>
        <v/>
      </c>
      <c r="F21" s="24" t="inlineStr">
        <is>
          <t>EV = $13,200mm, Yahoo Finance 2026-09-18</t>
        </is>
      </c>
    </row>
    <row r="22">
      <c r="A22" s="6" t="inlineStr">
        <is>
          <t>EV / EBITDA</t>
        </is>
      </c>
      <c r="B22" s="12">
        <f>13200.0/B9</f>
        <v/>
      </c>
      <c r="C22" s="14" t="inlineStr">
        <is>
          <t>n/a (FY27 EBITDA not verified)</t>
        </is>
      </c>
      <c r="F22" s="24" t="inlineStr">
        <is>
          <t>Yahoo shows 21.17x (stated) vs our independent calc of 24.87x on same EV/EBITDA-ttm — unreconciled, see Tab 1</t>
        </is>
      </c>
    </row>
    <row r="23">
      <c r="A23" s="6" t="inlineStr">
        <is>
          <t>FCF yield</t>
        </is>
      </c>
      <c r="B23" s="11">
        <f>B15/14070.0</f>
        <v/>
      </c>
      <c r="C23" s="14" t="inlineStr">
        <is>
          <t>n/a (FY27 FCF not verified)</t>
        </is>
      </c>
    </row>
    <row r="25" ht="18" customHeight="1">
      <c r="A25" s="4" t="inlineStr">
        <is>
          <t>ANALYST RATING BREAKDOWN &amp; PRICE TARGETS (two conflicting source sets — shown separately, not reconciled)</t>
        </is>
      </c>
    </row>
    <row r="26">
      <c r="A26" s="6" t="inlineStr">
        <is>
          <t>Rating breakdown, set 1</t>
        </is>
      </c>
      <c r="B26" s="43" t="inlineStr">
        <is>
          <t>7 Buy / 2 Hold / 0 Sell (9 analysts) -- stockanalysis.com / Investing.com</t>
        </is>
      </c>
    </row>
    <row r="27">
      <c r="A27" s="6" t="inlineStr">
        <is>
          <t>Rating breakdown, set 2</t>
        </is>
      </c>
      <c r="B27" s="43" t="inlineStr">
        <is>
          <t>6 Buy / 4 Hold / 0 Sell (10 analysts) -- MarketBeat (conflicts with set 1; different analyst universe/staleness cutoff, not reconciled)</t>
        </is>
      </c>
    </row>
    <row r="28">
      <c r="A28" s="6" t="inlineStr">
        <is>
          <t>Avg / High / Low PT, set 1</t>
        </is>
      </c>
      <c r="B28" s="48" t="n">
        <v>734.11</v>
      </c>
      <c r="C28" s="48" t="n">
        <v>850</v>
      </c>
      <c r="D28" s="48" t="n">
        <v>598</v>
      </c>
      <c r="F28" s="24" t="inlineStr">
        <is>
          <t>stockanalysis.com / Investing.com</t>
        </is>
      </c>
    </row>
    <row r="29">
      <c r="A29" s="6" t="inlineStr">
        <is>
          <t>Avg / High / Low PT, set 2</t>
        </is>
      </c>
      <c r="B29" s="48" t="n">
        <v>649.5</v>
      </c>
      <c r="C29" s="48" t="n">
        <v>800</v>
      </c>
      <c r="D29" s="48" t="n">
        <v>452</v>
      </c>
      <c r="F29" s="24" t="inlineStr">
        <is>
          <t>MarketBeat</t>
        </is>
      </c>
    </row>
    <row r="31">
      <c r="A31" s="17" t="inlineStr">
        <is>
          <t>Sources: stockanalysis.com/stocks/fn/forecast (FY2027 consensus, 6 analysts, captured 2026-09-18); MarketBeat and Investing.com (rating breakdowns, conflicting — likely different analyst universe/staleness cutoffs); Yahoo Finance (current EV, market cap, trailing multiples). FY2028/FY2029 consensus dollar figures were found only as a Simply Wall St narrative-model output, NOT a polled sell-side consensus, and are excluded per the no-fabrication rule.</t>
        </is>
      </c>
    </row>
    <row r="51">
      <c r="A51" s="17" t="inlineStr">
        <is>
          <t>Chart deliberately stops at FY2027E: FY2028-29 consensus figures were not independently verifiable as genuine polled sell-side consensus (see note above) and are not charted.</t>
        </is>
      </c>
    </row>
  </sheetData>
  <mergeCells count="8">
    <mergeCell ref="A2:F2"/>
    <mergeCell ref="B26:E26"/>
    <mergeCell ref="B27:E27"/>
    <mergeCell ref="A51:F51"/>
    <mergeCell ref="A1:F1"/>
    <mergeCell ref="A31:F31"/>
    <mergeCell ref="A18:F18"/>
    <mergeCell ref="A25:F25"/>
  </mergeCell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tabColor rgb="00C00000"/>
    <outlinePr summaryBelow="1" summaryRight="1"/>
    <pageSetUpPr/>
  </sheetPr>
  <dimension ref="A1:F88"/>
  <sheetViews>
    <sheetView showGridLines="0" workbookViewId="0">
      <pane ySplit="4" topLeftCell="A5"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10" customWidth="1" min="5" max="5"/>
    <col width="44" customWidth="1" min="6" max="6"/>
  </cols>
  <sheetData>
    <row r="1" ht="28" customHeight="1">
      <c r="A1" s="1" t="inlineStr">
        <is>
          <t>11. SCENARIO MODEL</t>
        </is>
      </c>
      <c r="B1" s="2" t="n"/>
      <c r="C1" s="2" t="n"/>
      <c r="D1" s="2" t="n"/>
      <c r="E1" s="2" t="n"/>
      <c r="F1" s="2" t="n"/>
    </row>
    <row r="2" ht="16" customHeight="1">
      <c r="A2" s="3" t="inlineStr">
        <is>
          <t>Bull / Base / Bear operating model, FY2027E-FY2029E. Yellow cells are editable assumptions — every output below is a live formula.</t>
        </is>
      </c>
      <c r="B2" s="2" t="n"/>
      <c r="C2" s="2" t="n"/>
      <c r="D2" s="2" t="n"/>
      <c r="E2" s="2" t="n"/>
      <c r="F2" s="2" t="n"/>
    </row>
    <row r="4">
      <c r="A4" s="17" t="inlineStr">
        <is>
          <t>All seeds = historical MIN/AVG/MAX pulled directly from Tab 2 &amp; Tab 8 (FY22-26 filing data), not invented. Revenue growth Bear/Bull = lowest/highest of the 4 YoY observations FY23-26; Base = their average (20.05%), which happens to land close to, but is NOT taken from, the verified FY2027 consensus growth of +31.2% (Tab 10) — shown for comparison, not used as the Base input. Gross margin, opex%, tax rate, D&amp;A%, capex%: Bear/Bull = FY22-26 worst/best observed level; Base = 5-yr average. WC plug % = (CFO-NI-D&amp;A)/ΔRevenue, Bear/Bull = worst/best of 4 FY23-26 observations; Base = their average. Diluted shares: held near the FY26 actual (36.252mm) with a small assumption spread.</t>
        </is>
      </c>
    </row>
    <row r="7">
      <c r="A7" s="17" t="inlineStr">
        <is>
          <t>SIMPLIFICATION DISCLOSED: this model holds each assumption CONSTANT across FY27-29 (a single growth/margin/etc. rate per scenario, not a year-by-year ramp) and approximates pretax income = operating income (i.e. ignores the small historical interest-income/FX/other-income lines, which have ranged roughly $0.1-$57mm and are not forecastable from filings). This is a modeling simplification, not a filing fact — flagged explicitly per instruction.</t>
        </is>
      </c>
    </row>
    <row r="10" ht="18" customHeight="1">
      <c r="A10" s="4" t="inlineStr">
        <is>
          <t>BEAR CASE</t>
        </is>
      </c>
    </row>
    <row r="11" ht="28" customHeight="1">
      <c r="A11" s="5" t="inlineStr">
        <is>
          <t>Assumption (editable)</t>
        </is>
      </c>
      <c r="B11" s="5" t="inlineStr">
        <is>
          <t>Value</t>
        </is>
      </c>
      <c r="C11" s="5" t="inlineStr"/>
      <c r="D11" s="5" t="inlineStr"/>
      <c r="E11" s="5" t="inlineStr"/>
      <c r="F11" s="5" t="inlineStr">
        <is>
          <t>Basis</t>
        </is>
      </c>
    </row>
    <row r="12">
      <c r="A12" s="6" t="inlineStr">
        <is>
          <t>Revenue growth % (constant, FY27-29)</t>
        </is>
      </c>
      <c r="B12" s="54" t="n">
        <v>0.09</v>
      </c>
      <c r="F12" s="24" t="inlineStr">
        <is>
          <t>Historical YoY range FY23-26 (10K24/10K26)</t>
        </is>
      </c>
    </row>
    <row r="13">
      <c r="A13" s="6" t="inlineStr">
        <is>
          <t>Gross margin %</t>
        </is>
      </c>
      <c r="B13" s="54" t="n">
        <v>0.12</v>
      </c>
      <c r="F13" s="24" t="inlineStr">
        <is>
          <t>Historical range FY22-26 (10K24/10K26)</t>
        </is>
      </c>
    </row>
    <row r="14">
      <c r="A14" s="6" t="inlineStr">
        <is>
          <t>Opex (SG&amp;A) % of revenue</t>
        </is>
      </c>
      <c r="B14" s="54" t="n">
        <v>0.033</v>
      </c>
      <c r="F14" s="24" t="inlineStr">
        <is>
          <t>Historical range FY22-26</t>
        </is>
      </c>
    </row>
    <row r="15">
      <c r="A15" s="6" t="inlineStr">
        <is>
          <t>Effective tax rate %</t>
        </is>
      </c>
      <c r="B15" s="54" t="n">
        <v>0.148</v>
      </c>
      <c r="F15" s="24" t="inlineStr">
        <is>
          <t>Historical range FY22-26 (incl. FY26 Pillar Two effect)</t>
        </is>
      </c>
    </row>
    <row r="16">
      <c r="A16" s="6" t="inlineStr">
        <is>
          <t>D&amp;A % of revenue</t>
        </is>
      </c>
      <c r="B16" s="54" t="n">
        <v>0.0136</v>
      </c>
      <c r="F16" s="24" t="inlineStr">
        <is>
          <t>Historical range FY22-26</t>
        </is>
      </c>
    </row>
    <row r="17">
      <c r="A17" s="6" t="inlineStr">
        <is>
          <t>Capex % of revenue (cash-paid basis)</t>
        </is>
      </c>
      <c r="B17" s="54" t="n">
        <v>0.0547</v>
      </c>
      <c r="F17" s="24" t="inlineStr">
        <is>
          <t>Historical range FY22-26</t>
        </is>
      </c>
    </row>
    <row r="18">
      <c r="A18" s="6" t="inlineStr">
        <is>
          <t>Working-capital plug % of ΔRevenue = (CFO-NI-D&amp;A)/ΔRev</t>
        </is>
      </c>
      <c r="B18" s="54" t="n">
        <v>-0.233</v>
      </c>
      <c r="F18" s="24" t="inlineStr">
        <is>
          <t>Historical range FY23-26</t>
        </is>
      </c>
    </row>
    <row r="19">
      <c r="A19" s="6" t="inlineStr">
        <is>
          <t>Diluted shares outstanding (mm)</t>
        </is>
      </c>
      <c r="B19" s="55" t="n">
        <v>36.5</v>
      </c>
      <c r="F19" s="24" t="inlineStr">
        <is>
          <t>Near FY26 actual (36.252mm)</t>
        </is>
      </c>
    </row>
    <row r="21" ht="28" customHeight="1">
      <c r="A21" s="5" t="inlineStr">
        <is>
          <t>Output (formula-driven)</t>
        </is>
      </c>
      <c r="B21" s="5" t="inlineStr">
        <is>
          <t>FY2027E</t>
        </is>
      </c>
      <c r="C21" s="5" t="inlineStr">
        <is>
          <t>FY2028E</t>
        </is>
      </c>
      <c r="D21" s="5" t="inlineStr">
        <is>
          <t>FY2029E</t>
        </is>
      </c>
      <c r="E21" s="5" t="inlineStr"/>
      <c r="F21" s="5" t="inlineStr"/>
    </row>
    <row r="22">
      <c r="A22" s="6" t="inlineStr">
        <is>
          <t>Revenue</t>
        </is>
      </c>
      <c r="B22" s="8">
        <f>'2. Historical Financials'!F6*(1+$B$12)</f>
        <v/>
      </c>
      <c r="C22" s="8">
        <f>B22*(1+$B$12)</f>
        <v/>
      </c>
      <c r="D22" s="8">
        <f>C22*(1+$B$12)</f>
        <v/>
      </c>
    </row>
    <row r="23">
      <c r="A23" s="6" t="inlineStr">
        <is>
          <t>Gross profit</t>
        </is>
      </c>
      <c r="B23" s="8">
        <f>B22*$B$13</f>
        <v/>
      </c>
      <c r="C23" s="8">
        <f>C22*$B$13</f>
        <v/>
      </c>
      <c r="D23" s="8">
        <f>D22*$B$13</f>
        <v/>
      </c>
    </row>
    <row r="24">
      <c r="A24" s="6" t="inlineStr">
        <is>
          <t>Operating income</t>
        </is>
      </c>
      <c r="B24" s="8">
        <f>B23-B22*$B$14</f>
        <v/>
      </c>
      <c r="C24" s="8">
        <f>C23-C22*$B$14</f>
        <v/>
      </c>
      <c r="D24" s="8">
        <f>D23-D22*$B$14</f>
        <v/>
      </c>
    </row>
    <row r="25">
      <c r="A25" s="6" t="inlineStr">
        <is>
          <t xml:space="preserve">  Operating margin %</t>
        </is>
      </c>
      <c r="B25" s="11">
        <f>B24/B22</f>
        <v/>
      </c>
      <c r="C25" s="11">
        <f>C24/C22</f>
        <v/>
      </c>
      <c r="D25" s="11">
        <f>D24/D22</f>
        <v/>
      </c>
    </row>
    <row r="26">
      <c r="A26" s="16" t="inlineStr">
        <is>
          <t>Net income (= OpInc × (1−tax), simplified)</t>
        </is>
      </c>
      <c r="B26" s="26">
        <f>B24*(1-$B$15)</f>
        <v/>
      </c>
      <c r="C26" s="26">
        <f>C24*(1-$B$15)</f>
        <v/>
      </c>
      <c r="D26" s="26">
        <f>D24*(1-$B$15)</f>
        <v/>
      </c>
    </row>
    <row r="27">
      <c r="A27" s="16" t="inlineStr">
        <is>
          <t>Diluted EPS ($/sh)</t>
        </is>
      </c>
      <c r="B27" s="56">
        <f>B26/$B$19</f>
        <v/>
      </c>
      <c r="C27" s="56">
        <f>C26/$B$19</f>
        <v/>
      </c>
      <c r="D27" s="56">
        <f>D26/$B$19</f>
        <v/>
      </c>
    </row>
    <row r="28">
      <c r="A28" s="6" t="inlineStr">
        <is>
          <t>D&amp;A</t>
        </is>
      </c>
      <c r="B28" s="8">
        <f>B22*$B$16</f>
        <v/>
      </c>
      <c r="C28" s="8">
        <f>C22*$B$16</f>
        <v/>
      </c>
      <c r="D28" s="8">
        <f>D22*$B$16</f>
        <v/>
      </c>
    </row>
    <row r="29">
      <c r="A29" s="6" t="inlineStr">
        <is>
          <t>Capex (cash-paid basis)</t>
        </is>
      </c>
      <c r="B29" s="8">
        <f>B22*$B$17</f>
        <v/>
      </c>
      <c r="C29" s="8">
        <f>C22*$B$17</f>
        <v/>
      </c>
      <c r="D29" s="8">
        <f>D22*$B$17</f>
        <v/>
      </c>
    </row>
    <row r="30">
      <c r="A30" s="6" t="inlineStr">
        <is>
          <t>Working-capital plug $ (see assumption above)</t>
        </is>
      </c>
      <c r="B30" s="8">
        <f>(B22-'2. Historical Financials'!F6)*$B$18</f>
        <v/>
      </c>
      <c r="C30" s="8">
        <f>(C22-B22)*$B$18</f>
        <v/>
      </c>
      <c r="D30" s="8">
        <f>(D22-C22)*$B$18</f>
        <v/>
      </c>
    </row>
    <row r="31">
      <c r="A31" s="16" t="inlineStr">
        <is>
          <t>Implied CFO = NI + D&amp;A + WC plug</t>
        </is>
      </c>
      <c r="B31" s="26">
        <f>B26+B28+B30</f>
        <v/>
      </c>
      <c r="C31" s="26">
        <f>C26+C28+C30</f>
        <v/>
      </c>
      <c r="D31" s="26">
        <f>D26+D28+D30</f>
        <v/>
      </c>
    </row>
    <row r="32">
      <c r="A32" s="16" t="inlineStr">
        <is>
          <t>FCF = CFO − Capex</t>
        </is>
      </c>
      <c r="B32" s="26">
        <f>B31-B29</f>
        <v/>
      </c>
      <c r="C32" s="26">
        <f>C31-C29</f>
        <v/>
      </c>
      <c r="D32" s="26">
        <f>D31-D29</f>
        <v/>
      </c>
    </row>
    <row r="33">
      <c r="A33" s="6" t="inlineStr">
        <is>
          <t xml:space="preserve">  FCF margin %</t>
        </is>
      </c>
      <c r="B33" s="11">
        <f>B32/B22</f>
        <v/>
      </c>
      <c r="C33" s="11">
        <f>C32/C22</f>
        <v/>
      </c>
      <c r="D33" s="11">
        <f>D32/D22</f>
        <v/>
      </c>
    </row>
    <row r="36" ht="18" customHeight="1">
      <c r="A36" s="4" t="inlineStr">
        <is>
          <t>BASE (Consensus-anchored) CASE</t>
        </is>
      </c>
    </row>
    <row r="37" ht="28" customHeight="1">
      <c r="A37" s="5" t="inlineStr">
        <is>
          <t>Assumption (editable)</t>
        </is>
      </c>
      <c r="B37" s="5" t="inlineStr">
        <is>
          <t>Value</t>
        </is>
      </c>
      <c r="C37" s="5" t="inlineStr"/>
      <c r="D37" s="5" t="inlineStr"/>
      <c r="E37" s="5" t="inlineStr"/>
      <c r="F37" s="5" t="inlineStr">
        <is>
          <t>Basis</t>
        </is>
      </c>
    </row>
    <row r="38">
      <c r="A38" s="6" t="inlineStr">
        <is>
          <t>Revenue growth % (constant, FY27-29)</t>
        </is>
      </c>
      <c r="B38" s="54" t="n">
        <v>0.2005</v>
      </c>
      <c r="F38" s="24" t="inlineStr">
        <is>
          <t>Historical YoY range FY23-26 (10K24/10K26)</t>
        </is>
      </c>
    </row>
    <row r="39">
      <c r="A39" s="6" t="inlineStr">
        <is>
          <t>Gross margin %</t>
        </is>
      </c>
      <c r="B39" s="54" t="n">
        <v>0.1238</v>
      </c>
      <c r="F39" s="24" t="inlineStr">
        <is>
          <t>Historical range FY22-26 (10K24/10K26)</t>
        </is>
      </c>
    </row>
    <row r="40">
      <c r="A40" s="6" t="inlineStr">
        <is>
          <t>Opex (SG&amp;A) % of revenue</t>
        </is>
      </c>
      <c r="B40" s="54" t="n">
        <v>0.026</v>
      </c>
      <c r="F40" s="24" t="inlineStr">
        <is>
          <t>Historical range FY22-26</t>
        </is>
      </c>
    </row>
    <row r="41">
      <c r="A41" s="6" t="inlineStr">
        <is>
          <t>Effective tax rate %</t>
        </is>
      </c>
      <c r="B41" s="54" t="n">
        <v>0.08699999999999999</v>
      </c>
      <c r="F41" s="24" t="inlineStr">
        <is>
          <t>Historical range FY22-26 (incl. FY26 Pillar Two effect)</t>
        </is>
      </c>
    </row>
    <row r="42">
      <c r="A42" s="6" t="inlineStr">
        <is>
          <t>D&amp;A % of revenue</t>
        </is>
      </c>
      <c r="B42" s="54" t="n">
        <v>0.0155</v>
      </c>
      <c r="F42" s="24" t="inlineStr">
        <is>
          <t>Historical range FY22-26</t>
        </is>
      </c>
    </row>
    <row r="43">
      <c r="A43" s="6" t="inlineStr">
        <is>
          <t>Capex % of revenue (cash-paid basis)</t>
        </is>
      </c>
      <c r="B43" s="54" t="n">
        <v>0.0341</v>
      </c>
      <c r="F43" s="24" t="inlineStr">
        <is>
          <t>Historical range FY22-26</t>
        </is>
      </c>
    </row>
    <row r="44">
      <c r="A44" s="6" t="inlineStr">
        <is>
          <t>Working-capital plug % of ΔRevenue = (CFO-NI-D&amp;A)/ΔRev</t>
        </is>
      </c>
      <c r="B44" s="54" t="n">
        <v>-0.065</v>
      </c>
      <c r="F44" s="24" t="inlineStr">
        <is>
          <t>Historical range FY23-26</t>
        </is>
      </c>
    </row>
    <row r="45">
      <c r="A45" s="6" t="inlineStr">
        <is>
          <t>Diluted shares outstanding (mm)</t>
        </is>
      </c>
      <c r="B45" s="55" t="n">
        <v>36.2</v>
      </c>
      <c r="F45" s="24" t="inlineStr">
        <is>
          <t>Near FY26 actual (36.252mm)</t>
        </is>
      </c>
    </row>
    <row r="47" ht="28" customHeight="1">
      <c r="A47" s="5" t="inlineStr">
        <is>
          <t>Output (formula-driven)</t>
        </is>
      </c>
      <c r="B47" s="5" t="inlineStr">
        <is>
          <t>FY2027E</t>
        </is>
      </c>
      <c r="C47" s="5" t="inlineStr">
        <is>
          <t>FY2028E</t>
        </is>
      </c>
      <c r="D47" s="5" t="inlineStr">
        <is>
          <t>FY2029E</t>
        </is>
      </c>
      <c r="E47" s="5" t="inlineStr"/>
      <c r="F47" s="5" t="inlineStr"/>
    </row>
    <row r="48">
      <c r="A48" s="6" t="inlineStr">
        <is>
          <t>Revenue</t>
        </is>
      </c>
      <c r="B48" s="8">
        <f>'2. Historical Financials'!F6*(1+$B$38)</f>
        <v/>
      </c>
      <c r="C48" s="8">
        <f>B48*(1+$B$38)</f>
        <v/>
      </c>
      <c r="D48" s="8">
        <f>C48*(1+$B$38)</f>
        <v/>
      </c>
    </row>
    <row r="49">
      <c r="A49" s="6" t="inlineStr">
        <is>
          <t>Gross profit</t>
        </is>
      </c>
      <c r="B49" s="8">
        <f>B48*$B$39</f>
        <v/>
      </c>
      <c r="C49" s="8">
        <f>C48*$B$39</f>
        <v/>
      </c>
      <c r="D49" s="8">
        <f>D48*$B$39</f>
        <v/>
      </c>
    </row>
    <row r="50">
      <c r="A50" s="6" t="inlineStr">
        <is>
          <t>Operating income</t>
        </is>
      </c>
      <c r="B50" s="8">
        <f>B49-B48*$B$40</f>
        <v/>
      </c>
      <c r="C50" s="8">
        <f>C49-C48*$B$40</f>
        <v/>
      </c>
      <c r="D50" s="8">
        <f>D49-D48*$B$40</f>
        <v/>
      </c>
    </row>
    <row r="51">
      <c r="A51" s="6" t="inlineStr">
        <is>
          <t xml:space="preserve">  Operating margin %</t>
        </is>
      </c>
      <c r="B51" s="11">
        <f>B50/B48</f>
        <v/>
      </c>
      <c r="C51" s="11">
        <f>C50/C48</f>
        <v/>
      </c>
      <c r="D51" s="11">
        <f>D50/D48</f>
        <v/>
      </c>
    </row>
    <row r="52">
      <c r="A52" s="16" t="inlineStr">
        <is>
          <t>Net income (= OpInc × (1−tax), simplified)</t>
        </is>
      </c>
      <c r="B52" s="26">
        <f>B50*(1-$B$41)</f>
        <v/>
      </c>
      <c r="C52" s="26">
        <f>C50*(1-$B$41)</f>
        <v/>
      </c>
      <c r="D52" s="26">
        <f>D50*(1-$B$41)</f>
        <v/>
      </c>
    </row>
    <row r="53">
      <c r="A53" s="16" t="inlineStr">
        <is>
          <t>Diluted EPS ($/sh)</t>
        </is>
      </c>
      <c r="B53" s="56">
        <f>B52/$B$45</f>
        <v/>
      </c>
      <c r="C53" s="56">
        <f>C52/$B$45</f>
        <v/>
      </c>
      <c r="D53" s="56">
        <f>D52/$B$45</f>
        <v/>
      </c>
    </row>
    <row r="54">
      <c r="A54" s="6" t="inlineStr">
        <is>
          <t>D&amp;A</t>
        </is>
      </c>
      <c r="B54" s="8">
        <f>B48*$B$42</f>
        <v/>
      </c>
      <c r="C54" s="8">
        <f>C48*$B$42</f>
        <v/>
      </c>
      <c r="D54" s="8">
        <f>D48*$B$42</f>
        <v/>
      </c>
    </row>
    <row r="55">
      <c r="A55" s="6" t="inlineStr">
        <is>
          <t>Capex (cash-paid basis)</t>
        </is>
      </c>
      <c r="B55" s="8">
        <f>B48*$B$43</f>
        <v/>
      </c>
      <c r="C55" s="8">
        <f>C48*$B$43</f>
        <v/>
      </c>
      <c r="D55" s="8">
        <f>D48*$B$43</f>
        <v/>
      </c>
    </row>
    <row r="56">
      <c r="A56" s="6" t="inlineStr">
        <is>
          <t>Working-capital plug $ (see assumption above)</t>
        </is>
      </c>
      <c r="B56" s="8">
        <f>(B48-'2. Historical Financials'!F6)*$B$44</f>
        <v/>
      </c>
      <c r="C56" s="8">
        <f>(C48-B48)*$B$44</f>
        <v/>
      </c>
      <c r="D56" s="8">
        <f>(D48-C48)*$B$44</f>
        <v/>
      </c>
    </row>
    <row r="57">
      <c r="A57" s="16" t="inlineStr">
        <is>
          <t>Implied CFO = NI + D&amp;A + WC plug</t>
        </is>
      </c>
      <c r="B57" s="26">
        <f>B52+B54+B56</f>
        <v/>
      </c>
      <c r="C57" s="26">
        <f>C52+C54+C56</f>
        <v/>
      </c>
      <c r="D57" s="26">
        <f>D52+D54+D56</f>
        <v/>
      </c>
    </row>
    <row r="58">
      <c r="A58" s="16" t="inlineStr">
        <is>
          <t>FCF = CFO − Capex</t>
        </is>
      </c>
      <c r="B58" s="26">
        <f>B57-B55</f>
        <v/>
      </c>
      <c r="C58" s="26">
        <f>C57-C55</f>
        <v/>
      </c>
      <c r="D58" s="26">
        <f>D57-D55</f>
        <v/>
      </c>
    </row>
    <row r="59">
      <c r="A59" s="6" t="inlineStr">
        <is>
          <t xml:space="preserve">  FCF margin %</t>
        </is>
      </c>
      <c r="B59" s="11">
        <f>B58/B48</f>
        <v/>
      </c>
      <c r="C59" s="11">
        <f>C58/C48</f>
        <v/>
      </c>
      <c r="D59" s="11">
        <f>D58/D48</f>
        <v/>
      </c>
    </row>
    <row r="62" ht="18" customHeight="1">
      <c r="A62" s="4" t="inlineStr">
        <is>
          <t>BULL CASE</t>
        </is>
      </c>
    </row>
    <row r="63" ht="28" customHeight="1">
      <c r="A63" s="5" t="inlineStr">
        <is>
          <t>Assumption (editable)</t>
        </is>
      </c>
      <c r="B63" s="5" t="inlineStr">
        <is>
          <t>Value</t>
        </is>
      </c>
      <c r="C63" s="5" t="inlineStr"/>
      <c r="D63" s="5" t="inlineStr"/>
      <c r="E63" s="5" t="inlineStr"/>
      <c r="F63" s="5" t="inlineStr">
        <is>
          <t>Basis</t>
        </is>
      </c>
    </row>
    <row r="64">
      <c r="A64" s="6" t="inlineStr">
        <is>
          <t>Revenue growth % (constant, FY27-29)</t>
        </is>
      </c>
      <c r="B64" s="54" t="n">
        <v>0.357</v>
      </c>
      <c r="F64" s="24" t="inlineStr">
        <is>
          <t>Historical YoY range FY23-26 (10K24/10K26)</t>
        </is>
      </c>
    </row>
    <row r="65">
      <c r="A65" s="6" t="inlineStr">
        <is>
          <t>Gross margin %</t>
        </is>
      </c>
      <c r="B65" s="54" t="n">
        <v>0.127</v>
      </c>
      <c r="F65" s="24" t="inlineStr">
        <is>
          <t>Historical range FY22-26 (10K24/10K26)</t>
        </is>
      </c>
    </row>
    <row r="66">
      <c r="A66" s="6" t="inlineStr">
        <is>
          <t>Opex (SG&amp;A) % of revenue</t>
        </is>
      </c>
      <c r="B66" s="54" t="n">
        <v>0.02</v>
      </c>
      <c r="F66" s="24" t="inlineStr">
        <is>
          <t>Historical range FY22-26</t>
        </is>
      </c>
    </row>
    <row r="67">
      <c r="A67" s="6" t="inlineStr">
        <is>
          <t>Effective tax rate %</t>
        </is>
      </c>
      <c r="B67" s="54" t="n">
        <v>0.049</v>
      </c>
      <c r="F67" s="24" t="inlineStr">
        <is>
          <t>Historical range FY22-26 (incl. FY26 Pillar Two effect)</t>
        </is>
      </c>
    </row>
    <row r="68">
      <c r="A68" s="6" t="inlineStr">
        <is>
          <t>D&amp;A % of revenue</t>
        </is>
      </c>
      <c r="B68" s="54" t="n">
        <v>0.0171</v>
      </c>
      <c r="F68" s="24" t="inlineStr">
        <is>
          <t>Historical range FY22-26</t>
        </is>
      </c>
    </row>
    <row r="69">
      <c r="A69" s="6" t="inlineStr">
        <is>
          <t>Capex % of revenue (cash-paid basis)</t>
        </is>
      </c>
      <c r="B69" s="54" t="n">
        <v>0.0168</v>
      </c>
      <c r="F69" s="24" t="inlineStr">
        <is>
          <t>Historical range FY22-26</t>
        </is>
      </c>
    </row>
    <row r="70">
      <c r="A70" s="6" t="inlineStr">
        <is>
          <t>Working-capital plug % of ΔRevenue = (CFO-NI-D&amp;A)/ΔRev</t>
        </is>
      </c>
      <c r="B70" s="54" t="n">
        <v>0.2858</v>
      </c>
      <c r="F70" s="24" t="inlineStr">
        <is>
          <t>Historical range FY23-26</t>
        </is>
      </c>
    </row>
    <row r="71">
      <c r="A71" s="6" t="inlineStr">
        <is>
          <t>Diluted shares outstanding (mm)</t>
        </is>
      </c>
      <c r="B71" s="55" t="n">
        <v>36</v>
      </c>
      <c r="F71" s="24" t="inlineStr">
        <is>
          <t>Near FY26 actual (36.252mm)</t>
        </is>
      </c>
    </row>
    <row r="73" ht="28" customHeight="1">
      <c r="A73" s="5" t="inlineStr">
        <is>
          <t>Output (formula-driven)</t>
        </is>
      </c>
      <c r="B73" s="5" t="inlineStr">
        <is>
          <t>FY2027E</t>
        </is>
      </c>
      <c r="C73" s="5" t="inlineStr">
        <is>
          <t>FY2028E</t>
        </is>
      </c>
      <c r="D73" s="5" t="inlineStr">
        <is>
          <t>FY2029E</t>
        </is>
      </c>
      <c r="E73" s="5" t="inlineStr"/>
      <c r="F73" s="5" t="inlineStr"/>
    </row>
    <row r="74">
      <c r="A74" s="6" t="inlineStr">
        <is>
          <t>Revenue</t>
        </is>
      </c>
      <c r="B74" s="8">
        <f>'2. Historical Financials'!F6*(1+$B$64)</f>
        <v/>
      </c>
      <c r="C74" s="8">
        <f>B74*(1+$B$64)</f>
        <v/>
      </c>
      <c r="D74" s="8">
        <f>C74*(1+$B$64)</f>
        <v/>
      </c>
    </row>
    <row r="75">
      <c r="A75" s="6" t="inlineStr">
        <is>
          <t>Gross profit</t>
        </is>
      </c>
      <c r="B75" s="8">
        <f>B74*$B$65</f>
        <v/>
      </c>
      <c r="C75" s="8">
        <f>C74*$B$65</f>
        <v/>
      </c>
      <c r="D75" s="8">
        <f>D74*$B$65</f>
        <v/>
      </c>
    </row>
    <row r="76">
      <c r="A76" s="6" t="inlineStr">
        <is>
          <t>Operating income</t>
        </is>
      </c>
      <c r="B76" s="8">
        <f>B75-B74*$B$66</f>
        <v/>
      </c>
      <c r="C76" s="8">
        <f>C75-C74*$B$66</f>
        <v/>
      </c>
      <c r="D76" s="8">
        <f>D75-D74*$B$66</f>
        <v/>
      </c>
    </row>
    <row r="77">
      <c r="A77" s="6" t="inlineStr">
        <is>
          <t xml:space="preserve">  Operating margin %</t>
        </is>
      </c>
      <c r="B77" s="11">
        <f>B76/B74</f>
        <v/>
      </c>
      <c r="C77" s="11">
        <f>C76/C74</f>
        <v/>
      </c>
      <c r="D77" s="11">
        <f>D76/D74</f>
        <v/>
      </c>
    </row>
    <row r="78">
      <c r="A78" s="16" t="inlineStr">
        <is>
          <t>Net income (= OpInc × (1−tax), simplified)</t>
        </is>
      </c>
      <c r="B78" s="26">
        <f>B76*(1-$B$67)</f>
        <v/>
      </c>
      <c r="C78" s="26">
        <f>C76*(1-$B$67)</f>
        <v/>
      </c>
      <c r="D78" s="26">
        <f>D76*(1-$B$67)</f>
        <v/>
      </c>
    </row>
    <row r="79">
      <c r="A79" s="16" t="inlineStr">
        <is>
          <t>Diluted EPS ($/sh)</t>
        </is>
      </c>
      <c r="B79" s="56">
        <f>B78/$B$71</f>
        <v/>
      </c>
      <c r="C79" s="56">
        <f>C78/$B$71</f>
        <v/>
      </c>
      <c r="D79" s="56">
        <f>D78/$B$71</f>
        <v/>
      </c>
    </row>
    <row r="80">
      <c r="A80" s="6" t="inlineStr">
        <is>
          <t>D&amp;A</t>
        </is>
      </c>
      <c r="B80" s="8">
        <f>B74*$B$68</f>
        <v/>
      </c>
      <c r="C80" s="8">
        <f>C74*$B$68</f>
        <v/>
      </c>
      <c r="D80" s="8">
        <f>D74*$B$68</f>
        <v/>
      </c>
    </row>
    <row r="81">
      <c r="A81" s="6" t="inlineStr">
        <is>
          <t>Capex (cash-paid basis)</t>
        </is>
      </c>
      <c r="B81" s="8">
        <f>B74*$B$69</f>
        <v/>
      </c>
      <c r="C81" s="8">
        <f>C74*$B$69</f>
        <v/>
      </c>
      <c r="D81" s="8">
        <f>D74*$B$69</f>
        <v/>
      </c>
    </row>
    <row r="82">
      <c r="A82" s="6" t="inlineStr">
        <is>
          <t>Working-capital plug $ (see assumption above)</t>
        </is>
      </c>
      <c r="B82" s="8">
        <f>(B74-'2. Historical Financials'!F6)*$B$70</f>
        <v/>
      </c>
      <c r="C82" s="8">
        <f>(C74-B74)*$B$70</f>
        <v/>
      </c>
      <c r="D82" s="8">
        <f>(D74-C74)*$B$70</f>
        <v/>
      </c>
    </row>
    <row r="83">
      <c r="A83" s="16" t="inlineStr">
        <is>
          <t>Implied CFO = NI + D&amp;A + WC plug</t>
        </is>
      </c>
      <c r="B83" s="26">
        <f>B78+B80+B82</f>
        <v/>
      </c>
      <c r="C83" s="26">
        <f>C78+C80+C82</f>
        <v/>
      </c>
      <c r="D83" s="26">
        <f>D78+D80+D82</f>
        <v/>
      </c>
    </row>
    <row r="84">
      <c r="A84" s="16" t="inlineStr">
        <is>
          <t>FCF = CFO − Capex</t>
        </is>
      </c>
      <c r="B84" s="26">
        <f>B83-B81</f>
        <v/>
      </c>
      <c r="C84" s="26">
        <f>C83-C81</f>
        <v/>
      </c>
      <c r="D84" s="26">
        <f>D83-D81</f>
        <v/>
      </c>
    </row>
    <row r="85">
      <c r="A85" s="6" t="inlineStr">
        <is>
          <t xml:space="preserve">  FCF margin %</t>
        </is>
      </c>
      <c r="B85" s="11">
        <f>B84/B74</f>
        <v/>
      </c>
      <c r="C85" s="11">
        <f>C84/C74</f>
        <v/>
      </c>
      <c r="D85" s="11">
        <f>D84/D74</f>
        <v/>
      </c>
    </row>
    <row r="88">
      <c r="A88" s="17" t="inlineStr">
        <is>
          <t>All formulas above recalculate automatically when any yellow assumption cell is changed. Revenue base = Tab 2 FY2026 actual ($4,641.1mm). This tab feeds Tab 12 (Valuation) directly by cell reference.</t>
        </is>
      </c>
    </row>
  </sheetData>
  <mergeCells count="8">
    <mergeCell ref="A2:F2"/>
    <mergeCell ref="A10:F10"/>
    <mergeCell ref="A36:F36"/>
    <mergeCell ref="A1:F1"/>
    <mergeCell ref="A88:F88"/>
    <mergeCell ref="A4:F4"/>
    <mergeCell ref="A62:F62"/>
    <mergeCell ref="A7:F7"/>
  </mergeCell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C00000"/>
    <outlinePr summaryBelow="1" summaryRight="1"/>
    <pageSetUpPr/>
  </sheetPr>
  <dimension ref="A1:G7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30" customWidth="1" min="7" max="7"/>
  </cols>
  <sheetData>
    <row r="1" ht="28" customHeight="1">
      <c r="A1" s="1" t="inlineStr">
        <is>
          <t>12. VALUATION</t>
        </is>
      </c>
      <c r="B1" s="2" t="n"/>
      <c r="C1" s="2" t="n"/>
      <c r="D1" s="2" t="n"/>
      <c r="E1" s="2" t="n"/>
      <c r="F1" s="2" t="n"/>
      <c r="G1" s="2" t="n"/>
    </row>
    <row r="2" ht="16" customHeight="1">
      <c r="A2" s="3" t="inlineStr">
        <is>
          <t>Current price $386.64 (2026-09-18, Yahoo Finance — external data). All EPS inputs link live to Tab 11.</t>
        </is>
      </c>
      <c r="B2" s="2" t="n"/>
      <c r="C2" s="2" t="n"/>
      <c r="D2" s="2" t="n"/>
      <c r="E2" s="2" t="n"/>
      <c r="F2" s="2" t="n"/>
      <c r="G2" s="2" t="n"/>
    </row>
    <row r="4" ht="18" customHeight="1">
      <c r="A4" s="4" t="inlineStr">
        <is>
          <t>BULL / BASE / BEAR: MULTIPLE-BASED VALUATION</t>
        </is>
      </c>
    </row>
    <row r="5" ht="28" customHeight="1">
      <c r="A5" s="5" t="inlineStr"/>
      <c r="B5" s="5" t="inlineStr">
        <is>
          <t>BEAR</t>
        </is>
      </c>
      <c r="C5" s="5" t="inlineStr">
        <is>
          <t>BASE</t>
        </is>
      </c>
      <c r="D5" s="5" t="inlineStr">
        <is>
          <t>BULL</t>
        </is>
      </c>
      <c r="E5" s="5" t="inlineStr"/>
      <c r="F5" s="5" t="inlineStr"/>
      <c r="G5" s="5" t="inlineStr"/>
    </row>
    <row r="6">
      <c r="A6" s="6" t="inlineStr">
        <is>
          <t>FY2027E EPS ($)</t>
        </is>
      </c>
      <c r="B6" s="10">
        <f>'11. Scenario Model'!B27</f>
        <v/>
      </c>
      <c r="C6" s="10">
        <f>'11. Scenario Model'!B53</f>
        <v/>
      </c>
      <c r="D6" s="10">
        <f>'11. Scenario Model'!B79</f>
        <v/>
      </c>
    </row>
    <row r="7">
      <c r="A7" s="6" t="inlineStr">
        <is>
          <t>FY2028E EPS ($)</t>
        </is>
      </c>
      <c r="B7" s="10">
        <f>'11. Scenario Model'!C27</f>
        <v/>
      </c>
      <c r="C7" s="10">
        <f>'11. Scenario Model'!C53</f>
        <v/>
      </c>
      <c r="D7" s="10">
        <f>'11. Scenario Model'!C79</f>
        <v/>
      </c>
    </row>
    <row r="8">
      <c r="A8" s="16" t="inlineStr">
        <is>
          <t>FY2029E EPS ($)</t>
        </is>
      </c>
      <c r="B8" s="56">
        <f>'11. Scenario Model'!D27</f>
        <v/>
      </c>
      <c r="C8" s="56">
        <f>'11. Scenario Model'!D53</f>
        <v/>
      </c>
      <c r="D8" s="56">
        <f>'11. Scenario Model'!D79</f>
        <v/>
      </c>
    </row>
    <row r="9">
      <c r="A9" s="6" t="inlineStr">
        <is>
          <t>Selected P/E multiple (assumption, applied to FY2029E)</t>
        </is>
      </c>
      <c r="B9" s="57" t="n">
        <v>18</v>
      </c>
      <c r="C9" s="57" t="n">
        <v>30.09</v>
      </c>
      <c r="D9" s="57" t="n">
        <v>30</v>
      </c>
    </row>
    <row r="10">
      <c r="A10" s="16" t="inlineStr">
        <is>
          <t>Implied share price = FY2029E EPS × multiple</t>
        </is>
      </c>
      <c r="B10" s="56">
        <f>B8*B9</f>
        <v/>
      </c>
      <c r="C10" s="56">
        <f>C8*C9</f>
        <v/>
      </c>
      <c r="D10" s="56">
        <f>D8*D9</f>
        <v/>
      </c>
    </row>
    <row r="11">
      <c r="A11" s="16" t="inlineStr">
        <is>
          <t>Upside / (downside) vs. current price</t>
        </is>
      </c>
      <c r="B11" s="58">
        <f>B10/386.64-1</f>
        <v/>
      </c>
      <c r="C11" s="46">
        <f>C10/386.64-1</f>
        <v/>
      </c>
      <c r="D11" s="46">
        <f>D10/386.64-1</f>
        <v/>
      </c>
    </row>
    <row r="13" ht="18" customHeight="1">
      <c r="A13" s="4" t="inlineStr">
        <is>
          <t>EV/EBITDA-BASED CROSS-CHECK</t>
        </is>
      </c>
    </row>
    <row r="14" ht="28" customHeight="1">
      <c r="A14" s="5" t="inlineStr"/>
      <c r="B14" s="5" t="inlineStr">
        <is>
          <t>BEAR</t>
        </is>
      </c>
      <c r="C14" s="5" t="inlineStr">
        <is>
          <t>BASE</t>
        </is>
      </c>
      <c r="D14" s="5" t="inlineStr">
        <is>
          <t>BULL</t>
        </is>
      </c>
      <c r="E14" s="5" t="inlineStr"/>
      <c r="F14" s="5" t="inlineStr"/>
      <c r="G14" s="5" t="inlineStr"/>
    </row>
    <row r="15">
      <c r="A15" s="6" t="inlineStr">
        <is>
          <t>FY2029E EBITDA ($mm) = OpInc + D&amp;A</t>
        </is>
      </c>
      <c r="B15" s="8">
        <f>'11. Scenario Model'!D24+'11. Scenario Model'!D28</f>
        <v/>
      </c>
      <c r="C15" s="8">
        <f>'11. Scenario Model'!D50+'11. Scenario Model'!D54</f>
        <v/>
      </c>
      <c r="D15" s="8">
        <f>'11. Scenario Model'!D76+'11. Scenario Model'!D80</f>
        <v/>
      </c>
    </row>
    <row r="16">
      <c r="A16" s="6" t="inlineStr">
        <is>
          <t>Selected EV/EBITDA multiple (assumption)</t>
        </is>
      </c>
      <c r="B16" s="57" t="n">
        <v>15</v>
      </c>
      <c r="C16" s="57" t="n">
        <v>21.17</v>
      </c>
      <c r="D16" s="57" t="n">
        <v>28</v>
      </c>
    </row>
    <row r="17">
      <c r="A17" s="6" t="inlineStr">
        <is>
          <t>Implied EV ($mm)</t>
        </is>
      </c>
      <c r="B17" s="8">
        <f>B15*B16</f>
        <v/>
      </c>
      <c r="C17" s="8">
        <f>C15*C16</f>
        <v/>
      </c>
      <c r="D17" s="8">
        <f>D15*D16</f>
        <v/>
      </c>
    </row>
    <row r="18">
      <c r="A18" s="16" t="inlineStr">
        <is>
          <t>Implied share price = (EV − net debt) / diluted shares</t>
        </is>
      </c>
      <c r="B18" s="10">
        <f>(B17-(4.01-875.05))/35.83</f>
        <v/>
      </c>
      <c r="C18" s="10">
        <f>(C17-(4.01-875.05))/35.83</f>
        <v/>
      </c>
      <c r="D18" s="10">
        <f>(D17-(4.01-875.05))/35.83</f>
        <v/>
      </c>
    </row>
    <row r="20" ht="18" customHeight="1">
      <c r="A20" s="4" t="inlineStr">
        <is>
          <t>SENSITIVITY GRID 1: Implied share price by P/E multiple × FY2029E EPS scenario</t>
        </is>
      </c>
    </row>
    <row r="21" ht="28" customHeight="1">
      <c r="A21" s="59" t="inlineStr">
        <is>
          <t>P/E multiple ↓ / EPS scenario →</t>
        </is>
      </c>
      <c r="B21" s="60">
        <f>B8</f>
        <v/>
      </c>
      <c r="C21" s="60">
        <f>C8</f>
        <v/>
      </c>
      <c r="D21" s="60">
        <f>D8</f>
        <v/>
      </c>
      <c r="E21" s="5" t="inlineStr"/>
      <c r="F21" s="5" t="inlineStr"/>
      <c r="G21" s="5" t="inlineStr"/>
    </row>
    <row r="22">
      <c r="A22" s="6" t="inlineStr">
        <is>
          <t>15x</t>
        </is>
      </c>
      <c r="B22" s="10">
        <f>B$8*15</f>
        <v/>
      </c>
      <c r="C22" s="10">
        <f>C$8*15</f>
        <v/>
      </c>
      <c r="D22" s="10">
        <f>D$8*15</f>
        <v/>
      </c>
    </row>
    <row r="23">
      <c r="A23" s="6" t="inlineStr">
        <is>
          <t>18x</t>
        </is>
      </c>
      <c r="B23" s="10">
        <f>B$8*18</f>
        <v/>
      </c>
      <c r="C23" s="10">
        <f>C$8*18</f>
        <v/>
      </c>
      <c r="D23" s="10">
        <f>D$8*18</f>
        <v/>
      </c>
    </row>
    <row r="24">
      <c r="A24" s="6" t="inlineStr">
        <is>
          <t>20x</t>
        </is>
      </c>
      <c r="B24" s="10">
        <f>B$8*20</f>
        <v/>
      </c>
      <c r="C24" s="10">
        <f>C$8*20</f>
        <v/>
      </c>
      <c r="D24" s="10">
        <f>D$8*20</f>
        <v/>
      </c>
    </row>
    <row r="25">
      <c r="A25" s="6" t="inlineStr">
        <is>
          <t>22x</t>
        </is>
      </c>
      <c r="B25" s="10">
        <f>B$8*22</f>
        <v/>
      </c>
      <c r="C25" s="10">
        <f>C$8*22</f>
        <v/>
      </c>
      <c r="D25" s="10">
        <f>D$8*22</f>
        <v/>
      </c>
    </row>
    <row r="26">
      <c r="A26" s="6" t="inlineStr">
        <is>
          <t>25x</t>
        </is>
      </c>
      <c r="B26" s="10">
        <f>B$8*25</f>
        <v/>
      </c>
      <c r="C26" s="10">
        <f>C$8*25</f>
        <v/>
      </c>
      <c r="D26" s="10">
        <f>D$8*25</f>
        <v/>
      </c>
    </row>
    <row r="27">
      <c r="A27" s="6" t="inlineStr">
        <is>
          <t>30x</t>
        </is>
      </c>
      <c r="B27" s="10">
        <f>B$8*30</f>
        <v/>
      </c>
      <c r="C27" s="10">
        <f>C$8*30</f>
        <v/>
      </c>
      <c r="D27" s="10">
        <f>D$8*30</f>
        <v/>
      </c>
    </row>
    <row r="29" ht="18" customHeight="1">
      <c r="A29" s="4" t="inlineStr">
        <is>
          <t>SENSITIVITY GRID 2: Implied share price by EV/EBITDA multiple × FY2029E EBITDA scenario</t>
        </is>
      </c>
    </row>
    <row r="30">
      <c r="A30" s="6" t="inlineStr">
        <is>
          <t>EV/EBITDA ↓ / EBITDA scenario →</t>
        </is>
      </c>
      <c r="B30" s="8">
        <f>B15</f>
        <v/>
      </c>
      <c r="C30" s="8">
        <f>C15</f>
        <v/>
      </c>
      <c r="D30" s="8">
        <f>D15</f>
        <v/>
      </c>
    </row>
    <row r="31">
      <c r="A31" s="6" t="inlineStr">
        <is>
          <t>10x</t>
        </is>
      </c>
      <c r="B31" s="10">
        <f>(B$15*10-(4.01-875.05))/35.83</f>
        <v/>
      </c>
      <c r="C31" s="10">
        <f>(C$15*10-(4.01-875.05))/35.83</f>
        <v/>
      </c>
      <c r="D31" s="10">
        <f>(D$15*10-(4.01-875.05))/35.83</f>
        <v/>
      </c>
    </row>
    <row r="32">
      <c r="A32" s="6" t="inlineStr">
        <is>
          <t>13x</t>
        </is>
      </c>
      <c r="B32" s="10">
        <f>(B$15*13-(4.01-875.05))/35.83</f>
        <v/>
      </c>
      <c r="C32" s="10">
        <f>(C$15*13-(4.01-875.05))/35.83</f>
        <v/>
      </c>
      <c r="D32" s="10">
        <f>(D$15*13-(4.01-875.05))/35.83</f>
        <v/>
      </c>
    </row>
    <row r="33">
      <c r="A33" s="6" t="inlineStr">
        <is>
          <t>15x</t>
        </is>
      </c>
      <c r="B33" s="10">
        <f>(B$15*15-(4.01-875.05))/35.83</f>
        <v/>
      </c>
      <c r="C33" s="10">
        <f>(C$15*15-(4.01-875.05))/35.83</f>
        <v/>
      </c>
      <c r="D33" s="10">
        <f>(D$15*15-(4.01-875.05))/35.83</f>
        <v/>
      </c>
    </row>
    <row r="34">
      <c r="A34" s="6" t="inlineStr">
        <is>
          <t>18x</t>
        </is>
      </c>
      <c r="B34" s="10">
        <f>(B$15*18-(4.01-875.05))/35.83</f>
        <v/>
      </c>
      <c r="C34" s="10">
        <f>(C$15*18-(4.01-875.05))/35.83</f>
        <v/>
      </c>
      <c r="D34" s="10">
        <f>(D$15*18-(4.01-875.05))/35.83</f>
        <v/>
      </c>
    </row>
    <row r="35">
      <c r="A35" s="6" t="inlineStr">
        <is>
          <t>21x</t>
        </is>
      </c>
      <c r="B35" s="10">
        <f>(B$15*21-(4.01-875.05))/35.83</f>
        <v/>
      </c>
      <c r="C35" s="10">
        <f>(C$15*21-(4.01-875.05))/35.83</f>
        <v/>
      </c>
      <c r="D35" s="10">
        <f>(D$15*21-(4.01-875.05))/35.83</f>
        <v/>
      </c>
    </row>
    <row r="36">
      <c r="A36" s="6" t="inlineStr">
        <is>
          <t>25x</t>
        </is>
      </c>
      <c r="B36" s="10">
        <f>(B$15*25-(4.01-875.05))/35.83</f>
        <v/>
      </c>
      <c r="C36" s="10">
        <f>(C$15*25-(4.01-875.05))/35.83</f>
        <v/>
      </c>
      <c r="D36" s="10">
        <f>(D$15*25-(4.01-875.05))/35.83</f>
        <v/>
      </c>
    </row>
    <row r="37">
      <c r="A37" s="6" t="inlineStr">
        <is>
          <t>30x</t>
        </is>
      </c>
      <c r="B37" s="10">
        <f>(B$15*30-(4.01-875.05))/35.83</f>
        <v/>
      </c>
      <c r="C37" s="10">
        <f>(C$15*30-(4.01-875.05))/35.83</f>
        <v/>
      </c>
      <c r="D37" s="10">
        <f>(D$15*30-(4.01-875.05))/35.83</f>
        <v/>
      </c>
    </row>
    <row r="39" ht="18" customHeight="1">
      <c r="A39" s="4" t="inlineStr">
        <is>
          <t>REVERSE-DCF SENSITIVITY GRID: steady-state FCF margin required to justify today's EV, by WACC × terminal growth (Gordon growth: Required FCF = EV×(WACC−g)/(1+g))</t>
        </is>
      </c>
    </row>
    <row r="40">
      <c r="A40" s="17" t="inlineStr">
        <is>
          <t>WACC and terminal growth are NOT derivable from FN's filings — they are external valuation assumptions, left as an editable grid rather than one asserted 'correct' combination, per instruction.</t>
        </is>
      </c>
    </row>
    <row r="42">
      <c r="A42" s="6" t="inlineStr">
        <is>
          <t>Current EV ($mm, external — Yahoo Finance)</t>
        </is>
      </c>
      <c r="B42" s="40" t="n">
        <v>13200</v>
      </c>
    </row>
    <row r="43">
      <c r="A43" s="6" t="inlineStr">
        <is>
          <t>FY2026A revenue base ($mm, from Tab 2)</t>
        </is>
      </c>
      <c r="B43" s="8">
        <f>'2. Historical Financials'!F6</f>
        <v/>
      </c>
    </row>
    <row r="45" ht="28" customHeight="1">
      <c r="A45" s="5" t="inlineStr">
        <is>
          <t>WACC ↓ / Terminal growth →</t>
        </is>
      </c>
      <c r="B45" s="5" t="inlineStr">
        <is>
          <t>2.0%</t>
        </is>
      </c>
      <c r="C45" s="5" t="inlineStr">
        <is>
          <t>3.0%</t>
        </is>
      </c>
      <c r="D45" s="5" t="inlineStr">
        <is>
          <t>4.0%</t>
        </is>
      </c>
      <c r="E45" s="5" t="inlineStr"/>
      <c r="F45" s="5" t="inlineStr"/>
      <c r="G45" s="5" t="inlineStr"/>
    </row>
    <row r="46">
      <c r="A46" s="6" t="inlineStr">
        <is>
          <t>8%</t>
        </is>
      </c>
      <c r="B46" s="11">
        <f>B$42*(0.08-0.02)/(1+0.02)/B$43</f>
        <v/>
      </c>
      <c r="C46" s="11">
        <f>B$42*(0.08-0.03)/(1+0.03)/B$43</f>
        <v/>
      </c>
      <c r="D46" s="11">
        <f>B$42*(0.08-0.04)/(1+0.04)/B$43</f>
        <v/>
      </c>
    </row>
    <row r="47">
      <c r="A47" s="6" t="inlineStr">
        <is>
          <t>10%</t>
        </is>
      </c>
      <c r="B47" s="11">
        <f>B$42*(0.1-0.02)/(1+0.02)/B$43</f>
        <v/>
      </c>
      <c r="C47" s="11">
        <f>B$42*(0.1-0.03)/(1+0.03)/B$43</f>
        <v/>
      </c>
      <c r="D47" s="11">
        <f>B$42*(0.1-0.04)/(1+0.04)/B$43</f>
        <v/>
      </c>
    </row>
    <row r="48">
      <c r="A48" s="6" t="inlineStr">
        <is>
          <t>12%</t>
        </is>
      </c>
      <c r="B48" s="11">
        <f>B$42*(0.12-0.02)/(1+0.02)/B$43</f>
        <v/>
      </c>
      <c r="C48" s="11">
        <f>B$42*(0.12-0.03)/(1+0.03)/B$43</f>
        <v/>
      </c>
      <c r="D48" s="11">
        <f>B$42*(0.12-0.04)/(1+0.04)/B$43</f>
        <v/>
      </c>
    </row>
    <row r="50">
      <c r="A50" s="6" t="inlineStr">
        <is>
          <t>Memo: FN's actual FCF margin (cash-paid basis, from Tab 2)</t>
        </is>
      </c>
      <c r="B50" s="11">
        <f>'2. Historical Financials'!D28</f>
        <v/>
      </c>
      <c r="C50" s="11">
        <f>'2. Historical Financials'!E28</f>
        <v/>
      </c>
      <c r="D50" s="11">
        <f>'2. Historical Financials'!F28</f>
        <v/>
      </c>
    </row>
    <row r="51">
      <c r="A51" s="25" t="inlineStr"/>
      <c r="B51" s="24" t="inlineStr">
        <is>
          <t>FY2024</t>
        </is>
      </c>
      <c r="C51" s="24" t="inlineStr">
        <is>
          <t>FY2025</t>
        </is>
      </c>
      <c r="D51" s="24" t="inlineStr">
        <is>
          <t>FY2026</t>
        </is>
      </c>
    </row>
    <row r="53">
      <c r="A53" s="17" t="inlineStr">
        <is>
          <t>READ: compare the reverse-DCF grid above to the FY24-26 actual FCF margins directly below it. Even the LOWEST required-margin cell in a reasonable WACC/g range typically sits at or above FN's best historical FCF margin (12.6%, FY2024) — while FY2026's actual margin has already collapsed toward ~0%.</t>
        </is>
      </c>
    </row>
    <row r="75">
      <c r="A75" s="17" t="inlineStr">
        <is>
          <t>Horizontal comparison: current price is $386.64 (2026-09-18). Bear target is below current price (the short payoff); Base and Bull targets sit above it, consistent with the average sell-side price target of $734.11 shown on Tab 10 — reflecting genuine two-sided risk, not a one-sided setup.</t>
        </is>
      </c>
    </row>
  </sheetData>
  <mergeCells count="10">
    <mergeCell ref="A13:G13"/>
    <mergeCell ref="A1:G1"/>
    <mergeCell ref="A40:G40"/>
    <mergeCell ref="A39:G39"/>
    <mergeCell ref="A53:G53"/>
    <mergeCell ref="A4:G4"/>
    <mergeCell ref="A20:G20"/>
    <mergeCell ref="A2:G2"/>
    <mergeCell ref="A29:G29"/>
    <mergeCell ref="A75:G75"/>
  </mergeCells>
  <pageMargins left="0.75" right="0.75" top="1" bottom="1" header="0.5" footer="0.5"/>
  <drawing xmlns:r="http://schemas.openxmlformats.org/officeDocument/2006/relationships" r:id="rId1"/>
  <legacyDrawing xmlns:r="http://schemas.openxmlformats.org/officeDocument/2006/relationships" r:id="anysvml"/>
</worksheet>
</file>

<file path=xl/worksheets/sheet14.xml><?xml version="1.0" encoding="utf-8"?>
<worksheet xmlns="http://schemas.openxmlformats.org/spreadsheetml/2006/main">
  <sheetPr>
    <tabColor rgb="00C00000"/>
    <outlinePr summaryBelow="1" summaryRight="1"/>
    <pageSetUpPr/>
  </sheetPr>
  <dimension ref="A1:F12"/>
  <sheetViews>
    <sheetView showGridLines="0" workbookViewId="0">
      <pane ySplit="4" topLeftCell="A5" activePane="bottomLeft" state="frozen"/>
      <selection pane="bottomLeft" activeCell="A1" sqref="A1"/>
    </sheetView>
  </sheetViews>
  <sheetFormatPr baseColWidth="8" defaultRowHeight="15"/>
  <cols>
    <col width="24" customWidth="1" min="1" max="1"/>
    <col width="26" customWidth="1" min="2" max="2"/>
    <col width="26" customWidth="1" min="3" max="3"/>
    <col width="26" customWidth="1" min="4" max="4"/>
    <col width="14" customWidth="1" min="5" max="5"/>
    <col width="30" customWidth="1" min="6" max="6"/>
  </cols>
  <sheetData>
    <row r="1" ht="28" customHeight="1">
      <c r="A1" s="1" t="inlineStr">
        <is>
          <t>13. CATALYSTS</t>
        </is>
      </c>
      <c r="B1" s="2" t="n"/>
      <c r="C1" s="2" t="n"/>
      <c r="D1" s="2" t="n"/>
      <c r="E1" s="2" t="n"/>
      <c r="F1" s="2" t="n"/>
    </row>
    <row r="2" ht="16" customHeight="1">
      <c r="A2" s="3" t="inlineStr">
        <is>
          <t>3-12 month events that could close the gap between price and thesis.</t>
        </is>
      </c>
      <c r="B2" s="2" t="n"/>
      <c r="C2" s="2" t="n"/>
      <c r="D2" s="2" t="n"/>
      <c r="E2" s="2" t="n"/>
      <c r="F2" s="2" t="n"/>
    </row>
    <row r="4" ht="28" customHeight="1">
      <c r="A4" s="5" t="inlineStr">
        <is>
          <t>Catalyst</t>
        </is>
      </c>
      <c r="B4" s="5" t="inlineStr">
        <is>
          <t>Current expectation</t>
        </is>
      </c>
      <c r="C4" s="5" t="inlineStr">
        <is>
          <t>Bear-case event</t>
        </is>
      </c>
      <c r="D4" s="5" t="inlineStr">
        <is>
          <t>Financial impact</t>
        </is>
      </c>
      <c r="E4" s="5" t="inlineStr">
        <is>
          <t>Likely timing</t>
        </is>
      </c>
      <c r="F4" s="5" t="inlineStr">
        <is>
          <t>Evidence to watch</t>
        </is>
      </c>
    </row>
    <row r="5" ht="70" customHeight="1">
      <c r="A5" s="32" t="inlineStr">
        <is>
          <t>Q1 FY2027 earnings</t>
        </is>
      </c>
      <c r="B5" s="34" t="inlineStr">
        <is>
          <t>Continued strong headline revenue growth (consensus +31.2% FY27)</t>
        </is>
      </c>
      <c r="C5" s="34" t="inlineStr">
        <is>
          <t>Gross margin still stuck ~12.0% despite record datacenter mix; FCF still near zero/negative</t>
        </is>
      </c>
      <c r="D5" s="34" t="inlineStr">
        <is>
          <t>Multiple compression if margin/FCF don't inflect despite growth beat</t>
        </is>
      </c>
      <c r="E5" s="33" t="inlineStr">
        <is>
          <t>~Nov 2026 (per Yahoo 'Earnings Date (est.)' 11/2/2026)</t>
        </is>
      </c>
      <c r="F5" s="34" t="inlineStr">
        <is>
          <t>Gross margin %, FCF, inventory delta QoQ</t>
        </is>
      </c>
    </row>
    <row r="6" ht="70" customHeight="1">
      <c r="A6" s="32" t="inlineStr">
        <is>
          <t>Inventory normalization</t>
        </is>
      </c>
      <c r="B6" s="34" t="inlineStr">
        <is>
          <t>Inventory stays elevated to support confirmed backlog/purchase obligations</t>
        </is>
      </c>
      <c r="C6" s="34" t="inlineStr">
        <is>
          <t>Inventory keeps growing faster than revenue (FY26: +75.8% inv vs +35.7% rev); first obsolescence charge already appeared FY26</t>
        </is>
      </c>
      <c r="D6" s="34" t="inlineStr">
        <is>
          <t>Working-capital drag continues suppressing FCF; obsolescence risk if demand air-pockets</t>
        </is>
      </c>
      <c r="E6" s="33" t="inlineStr">
        <is>
          <t>Next 2-4 quarters</t>
        </is>
      </c>
      <c r="F6" s="34" t="inlineStr">
        <is>
          <t>Inventory $ and DIO days QoQ; obsolescence-impairment line item</t>
        </is>
      </c>
    </row>
    <row r="7" ht="70" customHeight="1">
      <c r="A7" s="32" t="inlineStr">
        <is>
          <t>FY2027 capex guidance</t>
        </is>
      </c>
      <c r="B7" s="34" t="inlineStr">
        <is>
          <t>Management already guided capex to INCREASE further vs FY26 (new CA building + Pathum Thani)</t>
        </is>
      </c>
      <c r="C7" s="34" t="inlineStr">
        <is>
          <t>Capex intensity stays &gt;5% of revenue, keeping FCF margin near zero even if earnings grow</t>
        </is>
      </c>
      <c r="D7" s="34" t="inlineStr">
        <is>
          <t>FCF/EPS divergence widens further</t>
        </is>
      </c>
      <c r="E7" s="33" t="inlineStr">
        <is>
          <t>Confirmed in 10-K MD&amp;A; realized through FY2027 quarters</t>
        </is>
      </c>
      <c r="F7" s="34" t="inlineStr">
        <is>
          <t>Quarterly capex $ and capex/revenue %</t>
        </is>
      </c>
    </row>
    <row r="8" ht="70" customHeight="1">
      <c r="A8" s="32" t="inlineStr">
        <is>
          <t>Debt trajectory</t>
        </is>
      </c>
      <c r="B8" s="34" t="inlineStr">
        <is>
          <t>FN just took its first new borrowing in years ($75mm term loan, 8/17/2026) explicitly to fund capex</t>
        </is>
      </c>
      <c r="C8" s="34" t="inlineStr">
        <is>
          <t>Debt continues rising if internally generated cash can't keep funding the buildout</t>
        </is>
      </c>
      <c r="D8" s="34" t="inlineStr">
        <is>
          <t>Rising leverage/interest expense; erodes the 'debt-free compounder' framing</t>
        </is>
      </c>
      <c r="E8" s="33" t="inlineStr">
        <is>
          <t>Track next 10-Q (issued quarterly)</t>
        </is>
      </c>
      <c r="F8" s="34" t="inlineStr">
        <is>
          <t>Total debt balance, net debt/EBITDA</t>
        </is>
      </c>
    </row>
    <row r="9" ht="70" customHeight="1">
      <c r="A9" s="32" t="inlineStr">
        <is>
          <t>Customer concentration mix shift</t>
        </is>
      </c>
      <c r="B9" s="34" t="inlineStr">
        <is>
          <t>Nvidia % continues declining as Cisco/Nokia/Amazon grow faster</t>
        </is>
      </c>
      <c r="C9" s="34" t="inlineStr">
        <is>
          <t>A concentration reversal (Nvidia % re-accelerates) OR a new customer-loss event</t>
        </is>
      </c>
      <c r="D9" s="34" t="inlineStr">
        <is>
          <t>Directly changes revenue growth trajectory and quality-of-growth narrative</t>
        </is>
      </c>
      <c r="E9" s="33" t="inlineStr">
        <is>
          <t>Each 10-K/10-Q (annual/quarterly)</t>
        </is>
      </c>
      <c r="F9" s="34" t="inlineStr">
        <is>
          <t>Top-4 customer % and per-customer % in Note 21</t>
        </is>
      </c>
    </row>
    <row r="10" ht="70" customHeight="1">
      <c r="A10" s="32" t="inlineStr">
        <is>
          <t>Sell-side re-rating</t>
        </is>
      </c>
      <c r="B10" s="34" t="inlineStr">
        <is>
          <t>JPMorgan already downgraded (4/16/2026) citing 2028-visibility concerns; other banks (Barclays, Needham, Rosenblatt) held/raised targets even through the post-earnings drop</t>
        </is>
      </c>
      <c r="C10" s="34" t="inlineStr">
        <is>
          <t>A second bank downgrade citing FCF/margin (not just valuation) would be a strong confirming signal</t>
        </is>
      </c>
      <c r="D10" s="34" t="inlineStr">
        <is>
          <t>Price target cuts compress the stock further via passive/momentum flows</t>
        </is>
      </c>
      <c r="E10" s="33" t="inlineStr">
        <is>
          <t>Ongoing; watch next earnings-adjacent research notes</t>
        </is>
      </c>
      <c r="F10" s="34" t="inlineStr">
        <is>
          <t>New rating actions citing FCF or gross margin specifically (see Tab 9)</t>
        </is>
      </c>
    </row>
    <row r="11" ht="70" customHeight="1">
      <c r="A11" s="32" t="inlineStr">
        <is>
          <t>1.6T / datacenter mix ramp</t>
        </is>
      </c>
      <c r="B11" s="34" t="inlineStr">
        <is>
          <t>Datacenter category (recast) is 47.9% of FY26 revenue, still below FY24's 53.1% share</t>
        </is>
      </c>
      <c r="C11" s="34" t="inlineStr">
        <is>
          <t>If datacenter mix keeps lagging its FY24 share even as headline 'AI' narrative strengthens, the mix story weakens further</t>
        </is>
      </c>
      <c r="D11" s="34" t="inlineStr">
        <is>
          <t>Undermines the bull case's core mix-shift assumption</t>
        </is>
      </c>
      <c r="E11" s="33" t="inlineStr">
        <is>
          <t>Each 10-K/10-Q segment disclosure</t>
        </is>
      </c>
      <c r="F11" s="34" t="inlineStr">
        <is>
          <t>Data center segment $ and % of total (Tab 3, Regime C)</t>
        </is>
      </c>
    </row>
    <row r="12" ht="70" customHeight="1">
      <c r="A12" s="32" t="inlineStr">
        <is>
          <t>Hyperscaler capex commentary (external, not FN-specific)</t>
        </is>
      </c>
      <c r="B12" s="34" t="inlineStr">
        <is>
          <t>Broad hyperscaler capex growth already guided to decelerate industry-wide</t>
        </is>
      </c>
      <c r="C12" s="34" t="inlineStr">
        <is>
          <t>A sharper-than-guided slowdown would compress orders across FN's whole customer base simultaneously, given 57.4% concentration in just 4 names</t>
        </is>
      </c>
      <c r="D12" s="34" t="inlineStr">
        <is>
          <t>Amplifies revenue-growth downside scenario in Tab 11 Bear case</t>
        </is>
      </c>
      <c r="E12" s="33" t="inlineStr">
        <is>
          <t>Quarterly, alongside MSFT/GOOGL/AMZN/META earnings</t>
        </is>
      </c>
      <c r="F12" s="34" t="inlineStr">
        <is>
          <t>Hyperscaler capex growth commentary (external data, not sourced from FN filings)</t>
        </is>
      </c>
    </row>
  </sheetData>
  <mergeCells count="2">
    <mergeCell ref="A2:F2"/>
    <mergeCell ref="A1:F1"/>
  </mergeCells>
  <pageMargins left="0.75" right="0.75" top="1" bottom="1" header="0.5" footer="0.5"/>
</worksheet>
</file>

<file path=xl/worksheets/sheet15.xml><?xml version="1.0" encoding="utf-8"?>
<worksheet xmlns="http://schemas.openxmlformats.org/spreadsheetml/2006/main">
  <sheetPr>
    <tabColor rgb="00375623"/>
    <outlinePr summaryBelow="1" summaryRight="1"/>
    <pageSetUpPr/>
  </sheetPr>
  <dimension ref="A1:E15"/>
  <sheetViews>
    <sheetView showGridLines="0" workbookViewId="0">
      <pane ySplit="4" topLeftCell="A5" activePane="bottomLeft" state="frozen"/>
      <selection pane="bottomLeft" activeCell="A1" sqref="A1"/>
    </sheetView>
  </sheetViews>
  <sheetFormatPr baseColWidth="8" defaultRowHeight="15"/>
  <cols>
    <col width="26" customWidth="1" min="1" max="1"/>
    <col width="16" customWidth="1" min="2" max="2"/>
    <col width="26" customWidth="1" min="3" max="3"/>
    <col width="32" customWidth="1" min="4" max="4"/>
    <col width="30" customWidth="1" min="5" max="5"/>
  </cols>
  <sheetData>
    <row r="1" ht="28" customHeight="1">
      <c r="A1" s="1" t="inlineStr">
        <is>
          <t>14. RISKS TO THE SHORT</t>
        </is>
      </c>
      <c r="B1" s="2" t="n"/>
      <c r="C1" s="2" t="n"/>
      <c r="D1" s="2" t="n"/>
      <c r="E1" s="2" t="n"/>
    </row>
    <row r="2" ht="16" customHeight="1">
      <c r="A2" s="3" t="inlineStr">
        <is>
          <t>The strongest arguments AGAINST this thesis — not softened.</t>
        </is>
      </c>
      <c r="B2" s="2" t="n"/>
      <c r="C2" s="2" t="n"/>
      <c r="D2" s="2" t="n"/>
      <c r="E2" s="2" t="n"/>
    </row>
    <row r="4" ht="28" customHeight="1">
      <c r="A4" s="5" t="inlineStr">
        <is>
          <t>Risk</t>
        </is>
      </c>
      <c r="B4" s="5" t="inlineStr">
        <is>
          <t>Probability/Importance</t>
        </is>
      </c>
      <c r="C4" s="5" t="inlineStr">
        <is>
          <t>Potential impact</t>
        </is>
      </c>
      <c r="D4" s="5" t="inlineStr">
        <is>
          <t>Evidence</t>
        </is>
      </c>
      <c r="E4" s="5" t="inlineStr">
        <is>
          <t>Metric to monitor</t>
        </is>
      </c>
    </row>
    <row r="5" ht="80" customHeight="1">
      <c r="A5" s="61" t="inlineStr">
        <is>
          <t>Stock has already fallen ~48% from its 52-week high ($748.89→$386.64) and EV/EBITDA has already compressed from ~38x (Mar-2026) to ~21x — much of the mispricing may already be corrected</t>
        </is>
      </c>
      <c r="B5" s="62" t="inlineStr">
        <is>
          <t>HIGH</t>
        </is>
      </c>
      <c r="C5" s="34" t="inlineStr">
        <is>
          <t>A fresh short entered now could be shorting AFTER the easy move already happened; further downside may be limited</t>
        </is>
      </c>
      <c r="D5" s="34" t="inlineStr">
        <is>
          <t>Yahoo Finance historical EV/EBITDA series (Tab 1); post-earnings -22.3% drawdown already occurred</t>
        </is>
      </c>
      <c r="E5" s="34" t="inlineStr">
        <is>
          <t>EV/EBITDA relative to its own 6-12mo range; whether further compression actually continues</t>
        </is>
      </c>
    </row>
    <row r="6" ht="80" customHeight="1">
      <c r="A6" s="61" t="inlineStr">
        <is>
          <t>Customer concentration is diversifying into share-gainers, not deteriorating</t>
        </is>
      </c>
      <c r="B6" s="62" t="inlineStr">
        <is>
          <t>HIGH</t>
        </is>
      </c>
      <c r="C6" s="34" t="inlineStr">
        <is>
          <t>The 'concentration = risk' framing many would reach for is actually the WEAK part of this thesis — Nvidia's declining % has been offset by Cisco/Nokia/Amazon growth, all companies gaining share in their own end markets</t>
        </is>
      </c>
      <c r="D6" s="34" t="inlineStr">
        <is>
          <t>Tab 5: Nvidia 35.1%→27.6%→16.3% while estimated $ Nvidia revenue kept RISING</t>
        </is>
      </c>
      <c r="E6" s="34" t="inlineStr">
        <is>
          <t>Whether any single customer's $ revenue actually declines outright, not just its %</t>
        </is>
      </c>
    </row>
    <row r="7" ht="80" customHeight="1">
      <c r="A7" s="61" t="inlineStr">
        <is>
          <t>Sell-side has NOT broadly downgraded on the FCF collapse</t>
        </is>
      </c>
      <c r="B7" s="37" t="inlineStr">
        <is>
          <t>MEDIUM-HIGH</t>
        </is>
      </c>
      <c r="C7" s="34" t="inlineStr">
        <is>
          <t>If professional analysts who cover the name closely aren't reacting to the same FCF data with rating cuts, the market may already be correctly pricing this as a temporary, capex-driven dip rather than a structural problem</t>
        </is>
      </c>
      <c r="D7" s="34" t="inlineStr">
        <is>
          <t>Tab 9: JPMorgan, Barclays, Needham, Rosenblatt all held/raised targets on the very day (8/18/2026) the FCF-collapse earnings were reported</t>
        </is>
      </c>
      <c r="E7" s="34" t="inlineStr">
        <is>
          <t>Whether a second bank downgrades specifically citing FCF/margin in coming quarters</t>
        </is>
      </c>
    </row>
    <row r="8" ht="80" customHeight="1">
      <c r="A8" s="61" t="inlineStr">
        <is>
          <t>Capex-driven FCF dips are a normal, temporary feature of a manufacturing capacity ramp, not a red flag</t>
        </is>
      </c>
      <c r="B8" s="37" t="inlineStr">
        <is>
          <t>MEDIUM-HIGH</t>
        </is>
      </c>
      <c r="C8" s="34" t="inlineStr">
        <is>
          <t>FY2022-24 also saw depressed FCF relative to net income in some periods (e.g. FY22 FCF/NI only ~17% per Tab 2) before normalizing — this may simply repeat once the Chonburi/Pathum Thani/California buildout completes</t>
        </is>
      </c>
      <c r="D8" s="34" t="inlineStr">
        <is>
          <t>Tab 2 FCF/NI history is NOT monotonic — it has been volatile before, not always declining</t>
        </is>
      </c>
      <c r="E8" s="34" t="inlineStr">
        <is>
          <t>Whether FCF/NI recovers within 4-6 quarters as new capacity comes online, as it has historically</t>
        </is>
      </c>
    </row>
    <row r="9" ht="80" customHeight="1">
      <c r="A9" s="61" t="inlineStr">
        <is>
          <t>Purchase-obligation and capex-commitment growth could reflect genuinely CONTRACTED demand, not speculative overbuild</t>
        </is>
      </c>
      <c r="B9" s="37" t="inlineStr">
        <is>
          <t>MEDIUM</t>
        </is>
      </c>
      <c r="C9" s="34" t="inlineStr">
        <is>
          <t>10-K explicitly frames FN's investments as tied to 'support certain customers' — if backed by real multi-year customer commitments not fully visible in the disclosed 1-year purchase-obligation language, the 'long-duration capital vs short-duration visibility' framing in Tab 7 may overstate the actual risk</t>
        </is>
      </c>
      <c r="D9" s="34" t="inlineStr">
        <is>
          <t>10K26 MD&amp;A p.47: capex increase explicitly described as being to '...support certain customers'</t>
        </is>
      </c>
      <c r="E9" s="34" t="inlineStr">
        <is>
          <t>Any future disclosure of multi-year customer supply agreements (not currently in the filings reviewed)</t>
        </is>
      </c>
    </row>
    <row r="10" ht="80" customHeight="1">
      <c r="A10" s="61" t="inlineStr">
        <is>
          <t>Revenue growth itself remains very strong and broad-based</t>
        </is>
      </c>
      <c r="B10" s="37" t="inlineStr">
        <is>
          <t>MEDIUM</t>
        </is>
      </c>
      <c r="C10" s="34" t="inlineStr">
        <is>
          <t>+35.7% FY26 growth, +47.4% in the fastest-growing 'Communications infrastructure' category — a short thesis focused on margin/FCF quality does nothing to address the possibility that sheer volume growth keeps rewarding the stock regardless of margin/FCF concerns, especially if the market rewards growth over quality in this cycle</t>
        </is>
      </c>
      <c r="D10" s="34" t="inlineStr">
        <is>
          <t>Tab 2, Tab 3</t>
        </is>
      </c>
      <c r="E10" s="34" t="inlineStr">
        <is>
          <t>Revenue growth deceleration toward the Bear-case 9.0% assumption in Tab 11</t>
        </is>
      </c>
    </row>
    <row r="11" ht="80" customHeight="1">
      <c r="A11" s="61" t="inlineStr">
        <is>
          <t>Average sell-side price target ($734.11) implies ~90% upside from current price</t>
        </is>
      </c>
      <c r="B11" s="37" t="inlineStr">
        <is>
          <t>MEDIUM</t>
        </is>
      </c>
      <c r="C11" s="34" t="inlineStr">
        <is>
          <t>Being short against a consensus that is this bullish carries real squeeze risk if any single positive data point (e.g. a big new hyperscaler design win) is announced</t>
        </is>
      </c>
      <c r="D11" s="34" t="inlineStr">
        <is>
          <t>Tab 10: avg PT $734.11 (set 1) or $649.50 (set 2), both well above $386.64 current price</t>
        </is>
      </c>
      <c r="E11" s="34" t="inlineStr">
        <is>
          <t>Any single-name design-win or customer-expansion announcement</t>
        </is>
      </c>
    </row>
    <row r="12" ht="80" customHeight="1">
      <c r="A12" s="61" t="inlineStr">
        <is>
          <t>No debt at fiscal year-end (FY26) and strong absolute cash position ($875.1mm) provide a real balance-sheet cushion</t>
        </is>
      </c>
      <c r="B12" s="37" t="inlineStr">
        <is>
          <t>MEDIUM</t>
        </is>
      </c>
      <c r="C12" s="34" t="inlineStr">
        <is>
          <t>Even if FCF stays weak for several more quarters, FN is not at risk of a liquidity event — removes one classic 'value trap short' catalyst (forced equity raise, covenant breach, etc.)</t>
        </is>
      </c>
      <c r="D12" s="34" t="inlineStr">
        <is>
          <t>Tab 2 balance sheet; MD&amp;A 'no outstanding debt' language (pre the Aug-2026 $75mm loan)</t>
        </is>
      </c>
      <c r="E12" s="34" t="inlineStr">
        <is>
          <t>Net debt trajectory and covenant compliance in future 10-Qs</t>
        </is>
      </c>
    </row>
    <row r="13" ht="80" customHeight="1">
      <c r="A13" s="61" t="inlineStr">
        <is>
          <t>Short interest is not extreme, and days-to-cover is low</t>
        </is>
      </c>
      <c r="B13" s="36" t="inlineStr">
        <is>
          <t>LOW-MEDIUM</t>
        </is>
      </c>
      <c r="C13" s="34" t="inlineStr">
        <is>
          <t>This particular stock is not a crowded short (4.24% of float, 1.48 days to cover per Yahoo) — reduces squeeze risk somewhat, but also means less 'edge' from being early/differentiated versus other shorts</t>
        </is>
      </c>
      <c r="D13" s="34" t="inlineStr">
        <is>
          <t>Tab 1 / Yahoo Finance, 2026-09-18</t>
        </is>
      </c>
      <c r="E13" s="34" t="inlineStr">
        <is>
          <t>Short interest % of float trend over time</t>
        </is>
      </c>
    </row>
    <row r="15">
      <c r="A15" s="17" t="inlineStr">
        <is>
          <t>This register is deliberately NOT softened: the two HIGH-importance risks (already-occurred de-rating, and diversifying-not-deteriorating concentration) are genuinely the strongest counterarguments an investment-competition judge is likely to raise, and both are conceded here rather than downplayed.</t>
        </is>
      </c>
    </row>
  </sheetData>
  <mergeCells count="3">
    <mergeCell ref="A2:E2"/>
    <mergeCell ref="A15:E15"/>
    <mergeCell ref="A1:E1"/>
  </mergeCells>
  <pageMargins left="0.75" right="0.75" top="1" bottom="1" header="0.5" footer="0.5"/>
</worksheet>
</file>

<file path=xl/worksheets/sheet16.xml><?xml version="1.0" encoding="utf-8"?>
<worksheet xmlns="http://schemas.openxmlformats.org/spreadsheetml/2006/main">
  <sheetPr>
    <tabColor rgb="001F3864"/>
    <outlinePr summaryBelow="1" summaryRight="1"/>
    <pageSetUpPr/>
  </sheetPr>
  <dimension ref="A1:I15"/>
  <sheetViews>
    <sheetView showGridLines="0" workbookViewId="0">
      <pane ySplit="4" topLeftCell="A5" activePane="bottomLeft" state="frozen"/>
      <selection pane="bottomLeft" activeCell="A1" sqref="A1"/>
    </sheetView>
  </sheetViews>
  <sheetFormatPr baseColWidth="8" defaultRowHeight="15"/>
  <cols>
    <col width="6" customWidth="1" min="1" max="1"/>
    <col width="20" customWidth="1" min="2" max="2"/>
    <col width="34" customWidth="1" min="3" max="3"/>
    <col width="14" customWidth="1" min="4" max="4"/>
    <col width="16" customWidth="1" min="5" max="5"/>
    <col width="16" customWidth="1" min="6" max="6"/>
    <col width="40" customWidth="1" min="7" max="7"/>
    <col width="44" customWidth="1" min="8" max="8"/>
    <col width="14" customWidth="1" min="9" max="9"/>
  </cols>
  <sheetData>
    <row r="1" ht="28" customHeight="1">
      <c r="A1" s="1" t="inlineStr">
        <is>
          <t>15. SOURCE LOG</t>
        </is>
      </c>
      <c r="B1" s="2" t="n"/>
      <c r="C1" s="2" t="n"/>
      <c r="D1" s="2" t="n"/>
      <c r="E1" s="2" t="n"/>
      <c r="F1" s="2" t="n"/>
      <c r="G1" s="2" t="n"/>
      <c r="H1" s="2" t="n"/>
      <c r="I1" s="2" t="n"/>
    </row>
    <row r="2" ht="16" customHeight="1">
      <c r="A2" s="3" t="inlineStr">
        <is>
          <t>Every material figure in this workbook traces to a row below.</t>
        </is>
      </c>
      <c r="B2" s="2" t="n"/>
      <c r="C2" s="2" t="n"/>
      <c r="D2" s="2" t="n"/>
      <c r="E2" s="2" t="n"/>
      <c r="F2" s="2" t="n"/>
      <c r="G2" s="2" t="n"/>
      <c r="H2" s="2" t="n"/>
      <c r="I2" s="2" t="n"/>
    </row>
    <row r="4" ht="28" customHeight="1">
      <c r="A4" s="5" t="inlineStr">
        <is>
          <t>#</t>
        </is>
      </c>
      <c r="B4" s="5" t="inlineStr">
        <is>
          <t>Company/Publisher</t>
        </is>
      </c>
      <c r="C4" s="5" t="inlineStr">
        <is>
          <t>Document</t>
        </is>
      </c>
      <c r="D4" s="5" t="inlineStr">
        <is>
          <t>Doc type</t>
        </is>
      </c>
      <c r="E4" s="5" t="inlineStr">
        <is>
          <t>Pub/filing date</t>
        </is>
      </c>
      <c r="F4" s="5" t="inlineStr">
        <is>
          <t>Relevant period</t>
        </is>
      </c>
      <c r="G4" s="5" t="inlineStr">
        <is>
          <t>URL</t>
        </is>
      </c>
      <c r="H4" s="5" t="inlineStr">
        <is>
          <t>What info was used</t>
        </is>
      </c>
      <c r="I4" s="5" t="inlineStr">
        <is>
          <t>Primary/Secondary</t>
        </is>
      </c>
    </row>
    <row r="5" ht="46" customHeight="1">
      <c r="A5" s="63" t="n">
        <v>1</v>
      </c>
      <c r="B5" s="64" t="inlineStr">
        <is>
          <t>Fabrinet (SEC EDGAR)</t>
        </is>
      </c>
      <c r="C5" s="64" t="inlineStr">
        <is>
          <t>Form 10-K FY2026</t>
        </is>
      </c>
      <c r="D5" s="64" t="inlineStr">
        <is>
          <t>SEC filing</t>
        </is>
      </c>
      <c r="E5" s="64" t="inlineStr">
        <is>
          <t>2026-08-18</t>
        </is>
      </c>
      <c r="F5" s="64" t="inlineStr">
        <is>
          <t>FYE 2026-06-26 (+FY24,FY25 comps)</t>
        </is>
      </c>
      <c r="G5" s="64" t="inlineStr">
        <is>
          <t>sec.gov/Archives/edgar/data/0001408710/000140871026000028/fn-20260626.htm</t>
        </is>
      </c>
      <c r="H5" s="65" t="inlineStr">
        <is>
          <t>Income statement, cash flow, balance sheet, capex, customer concentration, segment mix (recast), subsequent events (debt, facility purchase)</t>
        </is>
      </c>
      <c r="I5" s="65" t="inlineStr">
        <is>
          <t>PRIMARY</t>
        </is>
      </c>
    </row>
    <row r="6" ht="46" customHeight="1">
      <c r="A6" s="63" t="n">
        <v>2</v>
      </c>
      <c r="B6" s="64" t="inlineStr">
        <is>
          <t>Fabrinet (SEC EDGAR)</t>
        </is>
      </c>
      <c r="C6" s="64" t="inlineStr">
        <is>
          <t>Form 10-K FY2024</t>
        </is>
      </c>
      <c r="D6" s="64" t="inlineStr">
        <is>
          <t>SEC filing</t>
        </is>
      </c>
      <c r="E6" s="64" t="inlineStr">
        <is>
          <t>2024-08-20</t>
        </is>
      </c>
      <c r="F6" s="64" t="inlineStr">
        <is>
          <t>FYE 2024-06-28 (+FY22,FY23 comps)</t>
        </is>
      </c>
      <c r="G6" s="64" t="inlineStr">
        <is>
          <t>sec.gov/Archives/edgar/data/1408710/000140871024000032/fn-20240628.htm</t>
        </is>
      </c>
      <c r="H6" s="65" t="inlineStr">
        <is>
          <t>FY2022-2024 income statement, cash flow, balance sheet (FY23-24), customer concentration, segment mix (old-old categories)</t>
        </is>
      </c>
      <c r="I6" s="65" t="inlineStr">
        <is>
          <t>PRIMARY</t>
        </is>
      </c>
    </row>
    <row r="7" ht="46" customHeight="1">
      <c r="A7" s="63" t="n">
        <v>3</v>
      </c>
      <c r="B7" s="64" t="inlineStr">
        <is>
          <t>Fabrinet (SEC EDGAR)</t>
        </is>
      </c>
      <c r="C7" s="64" t="inlineStr">
        <is>
          <t>Form 10-Q, Q3 FY2026</t>
        </is>
      </c>
      <c r="D7" s="64" t="inlineStr">
        <is>
          <t>SEC filing</t>
        </is>
      </c>
      <c r="E7" s="64" t="inlineStr">
        <is>
          <t>~2026-05</t>
        </is>
      </c>
      <c r="F7" s="64" t="inlineStr">
        <is>
          <t>Quarter/9mo ended 2026-03-27</t>
        </is>
      </c>
      <c r="G7" s="64" t="inlineStr">
        <is>
          <t>sec.gov/Archives/edgar/data/0001408710/000140871026000016/fn-20260327.htm</t>
        </is>
      </c>
      <c r="H7" s="65" t="inlineStr">
        <is>
          <t>Quarterly income statement, cash flow, segment mix (old-new categories incl. DCI/HPC), purchase obligations, customer concentration</t>
        </is>
      </c>
      <c r="I7" s="65" t="inlineStr">
        <is>
          <t>PRIMARY</t>
        </is>
      </c>
    </row>
    <row r="8" ht="46" customHeight="1">
      <c r="A8" s="63" t="n">
        <v>4</v>
      </c>
      <c r="B8" s="64" t="inlineStr">
        <is>
          <t>Yahoo Finance</t>
        </is>
      </c>
      <c r="C8" s="64" t="inlineStr">
        <is>
          <t>finance.yahoo.com/quote/FN and /key-statistics</t>
        </is>
      </c>
      <c r="D8" s="64" t="inlineStr">
        <is>
          <t>Market data website</t>
        </is>
      </c>
      <c r="E8" s="64" t="inlineStr">
        <is>
          <t>accessed 2026-09-18</t>
        </is>
      </c>
      <c r="F8" s="64" t="inlineStr">
        <is>
          <t>real-time / TTM / quarterly history</t>
        </is>
      </c>
      <c r="G8" s="64" t="inlineStr">
        <is>
          <t>finance.yahoo.com/quote/FN/</t>
        </is>
      </c>
      <c r="H8" s="65" t="inlineStr">
        <is>
          <t>Current price, market cap, EV, trailing P/E, EV/EBITDA (current + historical quarterly), short interest, insider/institutional ownership, 52-week range, analyst PT summary, levered FCF (ttm)</t>
        </is>
      </c>
      <c r="I8" s="65" t="inlineStr">
        <is>
          <t>EXTERNAL / SECONDARY</t>
        </is>
      </c>
    </row>
    <row r="9" ht="46" customHeight="1">
      <c r="A9" s="63" t="n">
        <v>5</v>
      </c>
      <c r="B9" s="64" t="inlineStr">
        <is>
          <t>StreetInsider / TipRanks / Seeking Alpha / MarketBeat</t>
        </is>
      </c>
      <c r="C9" s="64" t="inlineStr">
        <is>
          <t>Various news articles &amp; data tables re: JPMorgan FN rating action</t>
        </is>
      </c>
      <c r="D9" s="64" t="inlineStr">
        <is>
          <t>Financial news / data aggregator</t>
        </is>
      </c>
      <c r="E9" s="64" t="inlineStr">
        <is>
          <t>2026-04-16 (cross-corroborated)</t>
        </is>
      </c>
      <c r="F9" s="64" t="inlineStr">
        <is>
          <t>event-dated</t>
        </is>
      </c>
      <c r="G9" s="64" t="inlineStr">
        <is>
          <t>various (see Tab 9)</t>
        </is>
      </c>
      <c r="H9" s="65" t="inlineStr">
        <is>
          <t>JPMorgan Overweight→Neutral downgrade, PT $530→$700, '2028 visibility' rationale</t>
        </is>
      </c>
      <c r="I9" s="65" t="inlineStr">
        <is>
          <t>EXTERNAL / SECONDARY</t>
        </is>
      </c>
    </row>
    <row r="10" ht="46" customHeight="1">
      <c r="A10" s="63" t="n">
        <v>6</v>
      </c>
      <c r="B10" s="64" t="inlineStr">
        <is>
          <t>MarketBeat</t>
        </is>
      </c>
      <c r="C10" s="64" t="inlineStr">
        <is>
          <t>Price-target history table for FN</t>
        </is>
      </c>
      <c r="D10" s="64" t="inlineStr">
        <is>
          <t>Financial data aggregator</t>
        </is>
      </c>
      <c r="E10" s="64" t="inlineStr">
        <is>
          <t>accessed 2026-09-18</t>
        </is>
      </c>
      <c r="F10" s="64" t="inlineStr">
        <is>
          <t>2026-01 through 2026-09</t>
        </is>
      </c>
      <c r="G10" s="64" t="inlineStr">
        <is>
          <t>marketbeat.com (FN page)</t>
        </is>
      </c>
      <c r="H10" s="65" t="inlineStr">
        <is>
          <t>Full analyst-action history table (Tab 9)</t>
        </is>
      </c>
      <c r="I10" s="65" t="inlineStr">
        <is>
          <t>EXTERNAL / SECONDARY</t>
        </is>
      </c>
    </row>
    <row r="11" ht="46" customHeight="1">
      <c r="A11" s="63" t="n">
        <v>7</v>
      </c>
      <c r="B11" s="64" t="inlineStr">
        <is>
          <t>stockanalysis.com</t>
        </is>
      </c>
      <c r="C11" s="64" t="inlineStr">
        <is>
          <t>FN forecast page</t>
        </is>
      </c>
      <c r="D11" s="64" t="inlineStr">
        <is>
          <t>Consensus estimate aggregator</t>
        </is>
      </c>
      <c r="E11" s="64" t="inlineStr">
        <is>
          <t>accessed 2026-09-18</t>
        </is>
      </c>
      <c r="F11" s="64" t="inlineStr">
        <is>
          <t>FY2027E</t>
        </is>
      </c>
      <c r="G11" s="64" t="inlineStr">
        <is>
          <t>stockanalysis.com/stocks/fn/forecast/</t>
        </is>
      </c>
      <c r="H11" s="65" t="inlineStr">
        <is>
          <t>FY2027 consensus revenue &amp; EPS (6 analysts), rating breakdown, avg/high/low PT</t>
        </is>
      </c>
      <c r="I11" s="65" t="inlineStr">
        <is>
          <t>EXTERNAL / SECONDARY</t>
        </is>
      </c>
    </row>
    <row r="12" ht="46" customHeight="1">
      <c r="A12" s="63" t="n">
        <v>8</v>
      </c>
      <c r="B12" s="64" t="inlineStr">
        <is>
          <t>Investing.com</t>
        </is>
      </c>
      <c r="C12" s="64" t="inlineStr">
        <is>
          <t>FN equities consensus-estimates page</t>
        </is>
      </c>
      <c r="D12" s="64" t="inlineStr">
        <is>
          <t>Consensus estimate aggregator</t>
        </is>
      </c>
      <c r="E12" s="64" t="inlineStr">
        <is>
          <t>accessed 2026-09-18</t>
        </is>
      </c>
      <c r="F12" s="64" t="inlineStr">
        <is>
          <t>past 3 months</t>
        </is>
      </c>
      <c r="G12" s="64" t="inlineStr">
        <is>
          <t>investing.com (FN page)</t>
        </is>
      </c>
      <c r="H12" s="65" t="inlineStr">
        <is>
          <t>Cross-check on rating breakdown / PT set 1</t>
        </is>
      </c>
      <c r="I12" s="65" t="inlineStr">
        <is>
          <t>EXTERNAL / SECONDARY</t>
        </is>
      </c>
    </row>
    <row r="13" ht="46" customHeight="1">
      <c r="A13" s="63" t="n">
        <v>9</v>
      </c>
      <c r="B13" s="64" t="inlineStr">
        <is>
          <t>Fabrinet (SEC EDGAR)</t>
        </is>
      </c>
      <c r="C13" s="64" t="inlineStr">
        <is>
          <t>DEF 14A Proxy Statement</t>
        </is>
      </c>
      <c r="D13" s="64" t="inlineStr">
        <is>
          <t>SEC filing</t>
        </is>
      </c>
      <c r="E13" s="64" t="inlineStr">
        <is>
          <t>2025 (per filing)</t>
        </is>
      </c>
      <c r="F13" s="64" t="inlineStr">
        <is>
          <t>FY2025 exec comp</t>
        </is>
      </c>
      <c r="G13" s="64" t="inlineStr">
        <is>
          <t>sec.gov/Archives/edgar/data/0001408710/000114036125039008/ny20055128x1_def14a.htm</t>
        </is>
      </c>
      <c r="H13" s="65" t="inlineStr">
        <is>
          <t>EXCLUDED from the model per user's filings-only constraint; used only in prior-turn chat commentary (bonus-plan structure, non-GAAP gross margin trend) — NOT reflected in any workbook tab</t>
        </is>
      </c>
      <c r="I13" s="65" t="inlineStr">
        <is>
          <t>PRIMARY (but out-of-scope for this model)</t>
        </is>
      </c>
    </row>
    <row r="15">
      <c r="A15" s="17" t="inlineStr">
        <is>
          <t>Every hardcoded ('REPORTED FACT', blue-font) cell elsewhere in this workbook cites its filing location directly in that tab's 'Source' column — this log records the underlying documents themselves, not a repeat of every individual cell citation.</t>
        </is>
      </c>
    </row>
  </sheetData>
  <mergeCells count="3">
    <mergeCell ref="A1:I1"/>
    <mergeCell ref="A2:I2"/>
    <mergeCell ref="A15:I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2026-09-18T14:32:29Z</dcterms:created>
  <dcterms:modified xmlns:dcterms="http://purl.org/dc/terms/" xmlns:xsi="http://www.w3.org/2001/XMLSchema-instance" xsi:type="dcterms:W3CDTF">2026-09-18T14:32:29Z</dcterms:modified>
</cp:coreProperties>
</file>